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25" sheetId="1" r:id="rId4"/>
    <sheet state="visible" name="Compras_25" sheetId="2" r:id="rId5"/>
  </sheets>
  <definedNames/>
  <calcPr/>
  <extLst>
    <ext uri="GoogleSheetsCustomDataVersion2">
      <go:sheetsCustomData xmlns:go="http://customooxmlschemas.google.com/" r:id="rId6" roundtripDataChecksum="pnDY2mnucgkl3qiXiLMCMm8vkh7q/9s4ZAsEXSzfgNE="/>
    </ext>
  </extLst>
</workbook>
</file>

<file path=xl/sharedStrings.xml><?xml version="1.0" encoding="utf-8"?>
<sst xmlns="http://schemas.openxmlformats.org/spreadsheetml/2006/main" count="4818" uniqueCount="1563">
  <si>
    <t>Registro de Compras - 11-2025</t>
  </si>
  <si>
    <t>N°</t>
  </si>
  <si>
    <t>eLIA</t>
  </si>
  <si>
    <t>Fecha</t>
  </si>
  <si>
    <t>Comprobante</t>
  </si>
  <si>
    <t>}</t>
  </si>
  <si>
    <t>Nombre del proveedor</t>
  </si>
  <si>
    <t>Detalle</t>
  </si>
  <si>
    <t>Comprobante de Detracción</t>
  </si>
  <si>
    <t>Valor de Compra</t>
  </si>
  <si>
    <t>IGV</t>
  </si>
  <si>
    <t>Precio de Compra</t>
  </si>
  <si>
    <t>Cod</t>
  </si>
  <si>
    <t>Serie</t>
  </si>
  <si>
    <t>Numero</t>
  </si>
  <si>
    <t>Número</t>
  </si>
  <si>
    <t>FE01</t>
  </si>
  <si>
    <t>dael pharma</t>
  </si>
  <si>
    <t>sulfanil1% cremax20g</t>
  </si>
  <si>
    <t>columna para tipo de documento</t>
  </si>
  <si>
    <t>F406</t>
  </si>
  <si>
    <t>CENCOSUD RETAIL PERU S.A</t>
  </si>
  <si>
    <t>6 vasos velero,1 plato liso 33,1 bolsa caramelo perita sayon</t>
  </si>
  <si>
    <t>FA30</t>
  </si>
  <si>
    <t>MI FARMA</t>
  </si>
  <si>
    <t>guante,alcohol,agua,oxigenada,algodon,etc</t>
  </si>
  <si>
    <t>METRO CENCOSUD RETAIL PERU S.A</t>
  </si>
  <si>
    <t>paño microfibra secador,lavapass,caramelos,papel higienico</t>
  </si>
  <si>
    <t>DNI</t>
  </si>
  <si>
    <t>Nombre del Padre/Cliente</t>
  </si>
  <si>
    <t>Nombre del alumno</t>
  </si>
  <si>
    <t>Libreria bonita</t>
  </si>
  <si>
    <t>stiker de colores</t>
  </si>
  <si>
    <t>Curso</t>
  </si>
  <si>
    <t>Destino</t>
  </si>
  <si>
    <t>puesto xxx de mercado</t>
  </si>
  <si>
    <t>bolsas de plastico negro</t>
  </si>
  <si>
    <t>Valor de Venta</t>
  </si>
  <si>
    <t>Precio de Venta</t>
  </si>
  <si>
    <t>Receptor de la Venta</t>
  </si>
  <si>
    <t>Forma de pago</t>
  </si>
  <si>
    <t>Emitidas</t>
  </si>
  <si>
    <t>Por emitir</t>
  </si>
  <si>
    <t>E001</t>
  </si>
  <si>
    <t>PROHUMTEC</t>
  </si>
  <si>
    <t>Juego cuerdas bajo acustico earthwood</t>
  </si>
  <si>
    <t>No emitir</t>
  </si>
  <si>
    <t>Maria Gonzales</t>
  </si>
  <si>
    <t>Mensualidad</t>
  </si>
  <si>
    <t>Escuela</t>
  </si>
  <si>
    <t>Sonia Pukyura</t>
  </si>
  <si>
    <t>Cobranza saldo de mensualidad</t>
  </si>
  <si>
    <t>Jhonatan Ticona</t>
  </si>
  <si>
    <t xml:space="preserve">Mensualidades 3 meses </t>
  </si>
  <si>
    <t>Dominic</t>
  </si>
  <si>
    <t>Matricula, utiles y mensualidad</t>
  </si>
  <si>
    <t>Carlos Ignasio</t>
  </si>
  <si>
    <t>Mensualidad piano infantil</t>
  </si>
  <si>
    <t>Emili</t>
  </si>
  <si>
    <t>Matricula</t>
  </si>
  <si>
    <t>Estefany</t>
  </si>
  <si>
    <t>Mateo</t>
  </si>
  <si>
    <t>Percy Ramos</t>
  </si>
  <si>
    <t>Jesus Ramos</t>
  </si>
  <si>
    <t>Matricula y Utiles</t>
  </si>
  <si>
    <t>Andrea Fernanda</t>
  </si>
  <si>
    <t>Clases de batería Nov 20 - Feb 24</t>
  </si>
  <si>
    <t>EB01</t>
  </si>
  <si>
    <t>Luis Magno</t>
  </si>
  <si>
    <t>Luis Ruben Magno</t>
  </si>
  <si>
    <t xml:space="preserve">Mensualidad Nov </t>
  </si>
  <si>
    <t>Jesus Reyes</t>
  </si>
  <si>
    <t>Clases de canto</t>
  </si>
  <si>
    <t>Silvia Evelyn Garate</t>
  </si>
  <si>
    <t>Luca y Bianca</t>
  </si>
  <si>
    <t>Piano y piano infantil</t>
  </si>
  <si>
    <t>Dscto</t>
  </si>
  <si>
    <t>Gabriela Huari</t>
  </si>
  <si>
    <t>Luna Vargas Huari</t>
  </si>
  <si>
    <t>Piano infantil,matricula alumnos</t>
  </si>
  <si>
    <t>Rosa Pacay</t>
  </si>
  <si>
    <t>Renato Mateo Pacay</t>
  </si>
  <si>
    <t>Piano infantil reserva matrícula</t>
  </si>
  <si>
    <t>Parante de guitarra</t>
  </si>
  <si>
    <t>Tienda</t>
  </si>
  <si>
    <t>Mensualidad de guitarra</t>
  </si>
  <si>
    <t>NC</t>
  </si>
  <si>
    <t>Dscto Promocional</t>
  </si>
  <si>
    <t>Carlomagno Pukyura</t>
  </si>
  <si>
    <t>Mensualidad de piano infantil</t>
  </si>
  <si>
    <t>Reparación de Piano</t>
  </si>
  <si>
    <t>Rolando Sanchez</t>
  </si>
  <si>
    <t>Johandry Sanchez</t>
  </si>
  <si>
    <t>Mensualidad de clases de batería</t>
  </si>
  <si>
    <t>Joseph Vizcarra</t>
  </si>
  <si>
    <t>Alessa Vizcarra</t>
  </si>
  <si>
    <t>Mensualidad de clases de piano infantil</t>
  </si>
  <si>
    <t>Miguel Andrade</t>
  </si>
  <si>
    <t>Carlos Andrade</t>
  </si>
  <si>
    <t>Liz Ramos</t>
  </si>
  <si>
    <t>Mateo Malpartida</t>
  </si>
  <si>
    <t>William Estela</t>
  </si>
  <si>
    <t>Max e Ignasio Estela</t>
  </si>
  <si>
    <t>Utiles y mensualidad</t>
  </si>
  <si>
    <t>Jazmin Alva</t>
  </si>
  <si>
    <t>Abigail Alva</t>
  </si>
  <si>
    <t>Matricula y utiles</t>
  </si>
  <si>
    <t>Judith Remigio</t>
  </si>
  <si>
    <t>Micaela Donayre</t>
  </si>
  <si>
    <t>Saldo de Utiles</t>
  </si>
  <si>
    <t>David Reinoso</t>
  </si>
  <si>
    <t>Matricula, Utiles y adelanto de mens.</t>
  </si>
  <si>
    <t>Sonia Cerna</t>
  </si>
  <si>
    <t>Salvador Cerna</t>
  </si>
  <si>
    <t>Ramiro Yangua</t>
  </si>
  <si>
    <t>Diego Cordova</t>
  </si>
  <si>
    <t>Rebeca Cordova</t>
  </si>
  <si>
    <t>Liz Hidalgo</t>
  </si>
  <si>
    <t>Antonla Carraza</t>
  </si>
  <si>
    <t>Registro de Ventas - 12-2025</t>
  </si>
  <si>
    <t>Jazmín Merina</t>
  </si>
  <si>
    <t>Jazmin Dic</t>
  </si>
  <si>
    <t>Matrícula y útiles</t>
  </si>
  <si>
    <t>Christian Carrasco</t>
  </si>
  <si>
    <t>Hija de Christian</t>
  </si>
  <si>
    <t>Daniel</t>
  </si>
  <si>
    <t>Plumilla</t>
  </si>
  <si>
    <t>Hidalgo Quinto, Liz</t>
  </si>
  <si>
    <t xml:space="preserve">Antonela Carranza </t>
  </si>
  <si>
    <t>Mensualidad de promoción</t>
  </si>
  <si>
    <t>Profesor Jossy</t>
  </si>
  <si>
    <t>Venta de piano, ukelele y brazos de guitarra</t>
  </si>
  <si>
    <t>Mensualidad de Diciembre</t>
  </si>
  <si>
    <t>Dscto.Alumno fundador</t>
  </si>
  <si>
    <t>Aurora Diaz</t>
  </si>
  <si>
    <t>Angelo Fenco</t>
  </si>
  <si>
    <t>Dscto. Pronto pago</t>
  </si>
  <si>
    <t>Claudia Salazar</t>
  </si>
  <si>
    <t>Santiago Llancari</t>
  </si>
  <si>
    <t>Leslie Huerta</t>
  </si>
  <si>
    <t>Iker Conislla</t>
  </si>
  <si>
    <t>Ana Caccha</t>
  </si>
  <si>
    <t>Abiel Ambrosio</t>
  </si>
  <si>
    <t>Kleber Gallardo</t>
  </si>
  <si>
    <t>Kate Bravo</t>
  </si>
  <si>
    <t>Mensualidad promo 3 meses</t>
  </si>
  <si>
    <t>Palmira Benito</t>
  </si>
  <si>
    <t>Santiago Gabriel</t>
  </si>
  <si>
    <t>Jhoney Pinedo</t>
  </si>
  <si>
    <t>Vania Pinedo</t>
  </si>
  <si>
    <t>Utiles y matricula</t>
  </si>
  <si>
    <t>Antonela Carrasco</t>
  </si>
  <si>
    <t>Mensualidad restante</t>
  </si>
  <si>
    <t>Adrian Ricse A</t>
  </si>
  <si>
    <t>A cta. Venta de Guitarra Electroacustica Guson</t>
  </si>
  <si>
    <t>Yolanda Mitma</t>
  </si>
  <si>
    <t>Juan Huerta</t>
  </si>
  <si>
    <t>Magno De La Cruz</t>
  </si>
  <si>
    <t>Alberto Delzo</t>
  </si>
  <si>
    <t>Arelis Delzo</t>
  </si>
  <si>
    <t>A cta. Mensualidad de Diciembre</t>
  </si>
  <si>
    <t>Mariela Contreras</t>
  </si>
  <si>
    <t>Fabricio Medina</t>
  </si>
  <si>
    <t>Dscto. Reserva de Matricula</t>
  </si>
  <si>
    <t>Libros</t>
  </si>
  <si>
    <t>Carlos Celis</t>
  </si>
  <si>
    <t>Sebastian Celis</t>
  </si>
  <si>
    <t>Matricula, libros, mensualidad</t>
  </si>
  <si>
    <t>Alejandra Sanchez</t>
  </si>
  <si>
    <t>Axel Palacios</t>
  </si>
  <si>
    <t>Mensualidad Enero</t>
  </si>
  <si>
    <t>Flor Velasquez</t>
  </si>
  <si>
    <t xml:space="preserve">Alexzander Zuckerman </t>
  </si>
  <si>
    <t>YA SE EMITIO</t>
  </si>
  <si>
    <t>Saldo final de guitarra electroacustica</t>
  </si>
  <si>
    <t>A cta. de Mensualidad</t>
  </si>
  <si>
    <t>Saldo final libros, mensualidad</t>
  </si>
  <si>
    <t>Angel aguilar</t>
  </si>
  <si>
    <t>Cuerdas electrica ErnieBall calibre 10</t>
  </si>
  <si>
    <t>Yanina Jaime</t>
  </si>
  <si>
    <t>Loreta Jaime</t>
  </si>
  <si>
    <t>Janet Palacios</t>
  </si>
  <si>
    <t xml:space="preserve">Gabriel </t>
  </si>
  <si>
    <t>Baketa</t>
  </si>
  <si>
    <t>Paola</t>
  </si>
  <si>
    <t>Liam</t>
  </si>
  <si>
    <t>Rolando Medina</t>
  </si>
  <si>
    <t>Luz Alvan</t>
  </si>
  <si>
    <t>Mia</t>
  </si>
  <si>
    <t>Marielena</t>
  </si>
  <si>
    <t>Erick</t>
  </si>
  <si>
    <t>Dcto. Mudanza</t>
  </si>
  <si>
    <t>Vta. Cuerdas electrica ErnieBall calibre 9</t>
  </si>
  <si>
    <t>Diego Velazques</t>
  </si>
  <si>
    <t>Gabriel Velazques</t>
  </si>
  <si>
    <t>Matricula, libros, mensualidad 2 inst.</t>
  </si>
  <si>
    <t>Dscto. 2 cursos Reserva de Mat.</t>
  </si>
  <si>
    <t xml:space="preserve">Angelica </t>
  </si>
  <si>
    <t>Anthony Apaza</t>
  </si>
  <si>
    <t>Claudia Store</t>
  </si>
  <si>
    <t>Set de cuerda Daddario EZ910</t>
  </si>
  <si>
    <t>Maybeth Gonzales</t>
  </si>
  <si>
    <t>Maybeth Gonzales 220</t>
  </si>
  <si>
    <t>Parante On Stage para 3 guitarras lineal</t>
  </si>
  <si>
    <t>Lida Espinoza</t>
  </si>
  <si>
    <t>Lionel Fernandez</t>
  </si>
  <si>
    <t>Matricula, libros, mensualidad 3 meses</t>
  </si>
  <si>
    <t>Percy</t>
  </si>
  <si>
    <t>Alondra Minerva</t>
  </si>
  <si>
    <t>Jesus Buenda</t>
  </si>
  <si>
    <t>Liam Buendia</t>
  </si>
  <si>
    <t>libros, mensualidad</t>
  </si>
  <si>
    <t>Jorge Wilmer Salazar</t>
  </si>
  <si>
    <t>Aniceto</t>
  </si>
  <si>
    <t>Sofia</t>
  </si>
  <si>
    <t>libros, matrícula</t>
  </si>
  <si>
    <t>Helen</t>
  </si>
  <si>
    <t>Mateo y Helen</t>
  </si>
  <si>
    <t>Matricula, libros, mensualidad 2 alumnos</t>
  </si>
  <si>
    <t>Jhosep Vizcarra</t>
  </si>
  <si>
    <t>Alessa Viscarra</t>
  </si>
  <si>
    <t xml:space="preserve">Amalis Ricalde </t>
  </si>
  <si>
    <t>Santiago y Cataleya</t>
  </si>
  <si>
    <t>Amalis Ricalde</t>
  </si>
  <si>
    <t>Venta de pua de guitarra bandera peruana</t>
  </si>
  <si>
    <t>Venta de Cuerdas electrica #1 Alice 5 c/u</t>
  </si>
  <si>
    <t>Monica</t>
  </si>
  <si>
    <t xml:space="preserve">Andre </t>
  </si>
  <si>
    <t>Andre</t>
  </si>
  <si>
    <t>Angélica Taco</t>
  </si>
  <si>
    <t>Dayana</t>
  </si>
  <si>
    <t>Matricula, libros, mensualidad 2 herm.</t>
  </si>
  <si>
    <t>Katty Bendezu</t>
  </si>
  <si>
    <t xml:space="preserve">Alan </t>
  </si>
  <si>
    <t>Alan</t>
  </si>
  <si>
    <t>Raquel Rivera</t>
  </si>
  <si>
    <t>Juan</t>
  </si>
  <si>
    <t>Registro de Ventas - 01-2026</t>
  </si>
  <si>
    <t>Lourdes Mendoza</t>
  </si>
  <si>
    <t>Jake Doroteo</t>
  </si>
  <si>
    <t>Matrícula</t>
  </si>
  <si>
    <t>Giampier Navarrete</t>
  </si>
  <si>
    <t>Gianny Navarrete</t>
  </si>
  <si>
    <t>Matrícula, mensualidad y útiles</t>
  </si>
  <si>
    <t>Milagros Samaniego</t>
  </si>
  <si>
    <t>Stefano Samaniego</t>
  </si>
  <si>
    <t>David Salinas</t>
  </si>
  <si>
    <t>Carmen Delgado</t>
  </si>
  <si>
    <t>Andrea Palomino</t>
  </si>
  <si>
    <t>Tony  Maiselo Yauri</t>
  </si>
  <si>
    <t xml:space="preserve">Gustavo Maiselo </t>
  </si>
  <si>
    <t>Macedonia Nuñes</t>
  </si>
  <si>
    <t>Sofia Conde</t>
  </si>
  <si>
    <t>Tarjeta</t>
  </si>
  <si>
    <t>378.53</t>
  </si>
  <si>
    <t>Útiles</t>
  </si>
  <si>
    <t>93.19</t>
  </si>
  <si>
    <t>Alfonso Flores</t>
  </si>
  <si>
    <t>Bianca Flores</t>
  </si>
  <si>
    <t>Jhosabel Barreto</t>
  </si>
  <si>
    <t>Fernando Rodriguez</t>
  </si>
  <si>
    <t>Miluska Canchaya</t>
  </si>
  <si>
    <t>Alesandra Quispe Canchaya</t>
  </si>
  <si>
    <t>Lucy Castro Ramirez</t>
  </si>
  <si>
    <t>Juaquin Augusto Torres C.</t>
  </si>
  <si>
    <t>Sara Paigua</t>
  </si>
  <si>
    <t>Emiliano y Adrian Gonzales</t>
  </si>
  <si>
    <t>Matrícula 2 alumnos</t>
  </si>
  <si>
    <t>Alison Cerna</t>
  </si>
  <si>
    <t>Salvador</t>
  </si>
  <si>
    <t>Elizabeth Bulnes</t>
  </si>
  <si>
    <t>Camila de la Cruz</t>
  </si>
  <si>
    <t>Rudecindo Aylas</t>
  </si>
  <si>
    <t>Danae Aylas</t>
  </si>
  <si>
    <t>Elia Zegarra</t>
  </si>
  <si>
    <t>Diego Perez</t>
  </si>
  <si>
    <t>Carlos Arena</t>
  </si>
  <si>
    <t>Caleb Arenas</t>
  </si>
  <si>
    <t>Amalia Ricalde</t>
  </si>
  <si>
    <t>Matrícula, mensualidad y útiles ( pago 50% del total )</t>
  </si>
  <si>
    <t>Sebathian Celis</t>
  </si>
  <si>
    <t>Mensualidad (inst. Extra)</t>
  </si>
  <si>
    <t>Emiliano Gonzales</t>
  </si>
  <si>
    <t>Mensualidad y útiles</t>
  </si>
  <si>
    <t>Adrian Gonzales</t>
  </si>
  <si>
    <t>Hemiliana</t>
  </si>
  <si>
    <t>Alondra</t>
  </si>
  <si>
    <t>Guitara acustica Alvera negra 1/2</t>
  </si>
  <si>
    <t>Santiago</t>
  </si>
  <si>
    <t>Teclado 5/8 California mas parante</t>
  </si>
  <si>
    <t>Cristian Lapa</t>
  </si>
  <si>
    <t>Emma Lapa</t>
  </si>
  <si>
    <t>Hemiliana Diaz</t>
  </si>
  <si>
    <t>Ronald De La Cruz</t>
  </si>
  <si>
    <t>Romina De La Cruz</t>
  </si>
  <si>
    <t>Jose Saldaña</t>
  </si>
  <si>
    <t>Cristina Saldaña</t>
  </si>
  <si>
    <t>Jazmin Saldaña</t>
  </si>
  <si>
    <t>Anthony Anton</t>
  </si>
  <si>
    <t>Junior</t>
  </si>
  <si>
    <t>Uriel</t>
  </si>
  <si>
    <t>Eitan</t>
  </si>
  <si>
    <t>Juan Rivera</t>
  </si>
  <si>
    <t xml:space="preserve"> Juan Rivera</t>
  </si>
  <si>
    <t>Mensualidad (inst. Extra) y útiles</t>
  </si>
  <si>
    <t>Jonathan Gonzáles</t>
  </si>
  <si>
    <t>Andreu Gonzales</t>
  </si>
  <si>
    <t>Desconocido</t>
  </si>
  <si>
    <t>Ingreso desconocido</t>
  </si>
  <si>
    <t>Iker Conisilla</t>
  </si>
  <si>
    <t>Nestor Lopez</t>
  </si>
  <si>
    <t>Mia Lopez</t>
  </si>
  <si>
    <t>Mensualidad y matrícula</t>
  </si>
  <si>
    <t>Carlos Nemesio</t>
  </si>
  <si>
    <t>Andrea</t>
  </si>
  <si>
    <t>Mensualidad ( restante x 3 meses )</t>
  </si>
  <si>
    <t>Richard Prado</t>
  </si>
  <si>
    <t>Andreu Prado</t>
  </si>
  <si>
    <t>Claudia S.</t>
  </si>
  <si>
    <t>Cesar Tejada</t>
  </si>
  <si>
    <t>Jhon Tejada</t>
  </si>
  <si>
    <t>Valeska</t>
  </si>
  <si>
    <t>Yasmin Alva</t>
  </si>
  <si>
    <t>Abigail</t>
  </si>
  <si>
    <t>Capotraste</t>
  </si>
  <si>
    <t>Edhit</t>
  </si>
  <si>
    <t xml:space="preserve">Vta. Resina dadi violin				
</t>
  </si>
  <si>
    <t>Jimy Paytan</t>
  </si>
  <si>
    <t>Hombrera de violin vera SR204/4V</t>
  </si>
  <si>
    <t>Damasco Ambrosio</t>
  </si>
  <si>
    <t>Melissa Sulca</t>
  </si>
  <si>
    <t>Carlos Del Quiros</t>
  </si>
  <si>
    <t>Carmiña Garcia</t>
  </si>
  <si>
    <t>Isabella</t>
  </si>
  <si>
    <t>Edith Cortes</t>
  </si>
  <si>
    <t>Joaquin</t>
  </si>
  <si>
    <t xml:space="preserve">Matricula de Joaquin                                </t>
  </si>
  <si>
    <t>Dariana</t>
  </si>
  <si>
    <t>Matricula de Dariana</t>
  </si>
  <si>
    <t>Edward Lopez</t>
  </si>
  <si>
    <t>Valentino López</t>
  </si>
  <si>
    <t>Carlos Rodriguez</t>
  </si>
  <si>
    <t>Tiara Rodriguez</t>
  </si>
  <si>
    <t>Luis Camac</t>
  </si>
  <si>
    <t>Margareth</t>
  </si>
  <si>
    <t>Ada Rodriguez</t>
  </si>
  <si>
    <t>Manuel Ortis</t>
  </si>
  <si>
    <t>Lira Gomes</t>
  </si>
  <si>
    <t>Dayanara</t>
  </si>
  <si>
    <t>Mensualidad ( 12% desc. )</t>
  </si>
  <si>
    <t>Leonardo</t>
  </si>
  <si>
    <t>Ivanna Tipula</t>
  </si>
  <si>
    <t>Dylan Torres</t>
  </si>
  <si>
    <t>Andrew Prado</t>
  </si>
  <si>
    <t>Israel Acosta</t>
  </si>
  <si>
    <t>Benjamin Acosta</t>
  </si>
  <si>
    <t>Mensualidad (Restante)</t>
  </si>
  <si>
    <t>cuerda suelta primera de violin alice</t>
  </si>
  <si>
    <t>Milagros Obregón</t>
  </si>
  <si>
    <t>Jazzlyn Villena</t>
  </si>
  <si>
    <t>Aldair Alejandro</t>
  </si>
  <si>
    <t>Max Estela</t>
  </si>
  <si>
    <t>baquetas especial punta naylon</t>
  </si>
  <si>
    <t>Edwin Hua</t>
  </si>
  <si>
    <t>cajon 2 rosado nacional</t>
  </si>
  <si>
    <t xml:space="preserve"> Israel Flores</t>
  </si>
  <si>
    <t>Andy Flores</t>
  </si>
  <si>
    <t>Edith Cortez</t>
  </si>
  <si>
    <t>Israel Flores</t>
  </si>
  <si>
    <t>Audifono hpm1000 behringer</t>
  </si>
  <si>
    <t>Gustavo Salcedo</t>
  </si>
  <si>
    <t>Yamir</t>
  </si>
  <si>
    <t>Ricardo Sulca</t>
  </si>
  <si>
    <t>Richard Sulca Porras</t>
  </si>
  <si>
    <t>Milagros</t>
  </si>
  <si>
    <t xml:space="preserve">Venta Afinador click cromatico </t>
  </si>
  <si>
    <t>Aron</t>
  </si>
  <si>
    <t>Teresa Bernardo</t>
  </si>
  <si>
    <t>Alonso Bernardo</t>
  </si>
  <si>
    <t>cuerda sueltas #1,#2,#3 de naylon importado</t>
  </si>
  <si>
    <t>Abel Cordova Roque</t>
  </si>
  <si>
    <t>Andy Cordova</t>
  </si>
  <si>
    <t>Anahi Urquizo</t>
  </si>
  <si>
    <t xml:space="preserve">Fanny </t>
  </si>
  <si>
    <t>Ozlem</t>
  </si>
  <si>
    <t>Nelson Chingel</t>
  </si>
  <si>
    <t>Yovana Mendoza</t>
  </si>
  <si>
    <t>Jair Reginaldo</t>
  </si>
  <si>
    <t xml:space="preserve">Israel Acosta </t>
  </si>
  <si>
    <t>Benjamin</t>
  </si>
  <si>
    <t>Mensualidad Restante</t>
  </si>
  <si>
    <t>Gustavo Suarez</t>
  </si>
  <si>
    <t>Yamir Suarez</t>
  </si>
  <si>
    <t>Jamies</t>
  </si>
  <si>
    <t>ukulele soprano Ukadeli bamboo</t>
  </si>
  <si>
    <t>Nancy</t>
  </si>
  <si>
    <t>guitarra Alvera negra cuerdas metal +funda oxford</t>
  </si>
  <si>
    <t>Keyla Morales</t>
  </si>
  <si>
    <t>Richard Tasayco</t>
  </si>
  <si>
    <t>Cuerdas de nylon proarte para guitarra Clasica</t>
  </si>
  <si>
    <t>guitarra Alvera rojo tamaño 1/2 con funda economica</t>
  </si>
  <si>
    <t>Juliana Reyes</t>
  </si>
  <si>
    <t>Adrian Tasayco</t>
  </si>
  <si>
    <t>Mia Bellido</t>
  </si>
  <si>
    <t>Diego Velasquez</t>
  </si>
  <si>
    <t>Gabriel Velasquez</t>
  </si>
  <si>
    <t>Matrícula y mensualidad</t>
  </si>
  <si>
    <t>Compra de violín Fever 4/4</t>
  </si>
  <si>
    <t>Isaac Vásquez</t>
  </si>
  <si>
    <t>Mateo Vasquez</t>
  </si>
  <si>
    <t>Mensualidad ( pend. 147)</t>
  </si>
  <si>
    <t>Rolando Sánchez</t>
  </si>
  <si>
    <t>Yohandry Sánchez</t>
  </si>
  <si>
    <t xml:space="preserve">Sra.Juliana </t>
  </si>
  <si>
    <t xml:space="preserve">Adrian Mateo </t>
  </si>
  <si>
    <t xml:space="preserve">Mensualidad completa </t>
  </si>
  <si>
    <t>932 846 646</t>
  </si>
  <si>
    <t>Loida Juárez del castillo</t>
  </si>
  <si>
    <t>Aarón Juárez del Castillo</t>
  </si>
  <si>
    <t>907 238 216</t>
  </si>
  <si>
    <t xml:space="preserve">Sr . Paola Sanchez </t>
  </si>
  <si>
    <t xml:space="preserve">Liam Sanchez </t>
  </si>
  <si>
    <t>924 265 315</t>
  </si>
  <si>
    <t xml:space="preserve">Sr Rosa Solano </t>
  </si>
  <si>
    <t xml:space="preserve">Loreta Solano </t>
  </si>
  <si>
    <t xml:space="preserve"> 997 354 960</t>
  </si>
  <si>
    <t xml:space="preserve">Sr: Israel Flores </t>
  </si>
  <si>
    <t>Andy Flores Santiago</t>
  </si>
  <si>
    <t xml:space="preserve">pendiente de mensualidad completo </t>
  </si>
  <si>
    <t>971 342 772</t>
  </si>
  <si>
    <t>Antony Marcelo Vilca</t>
  </si>
  <si>
    <t>Pago mitad mensualidad debe 197,00</t>
  </si>
  <si>
    <t>961 752 327</t>
  </si>
  <si>
    <t>Sr. Nataly Vega</t>
  </si>
  <si>
    <t xml:space="preserve">Vania Garcia </t>
  </si>
  <si>
    <t>931 689 703</t>
  </si>
  <si>
    <t>Canchaya, Miluska</t>
  </si>
  <si>
    <t>Quispe Canchaya, Alessandra</t>
  </si>
  <si>
    <t>944 563 815</t>
  </si>
  <si>
    <t>Sra, Claudia LL.</t>
  </si>
  <si>
    <t>Santiago .LL</t>
  </si>
  <si>
    <t xml:space="preserve"> 993 735 831</t>
  </si>
  <si>
    <t xml:space="preserve">Sra, Carmiña </t>
  </si>
  <si>
    <t>934 214 528</t>
  </si>
  <si>
    <t xml:space="preserve">Sra . Nacedonia </t>
  </si>
  <si>
    <t xml:space="preserve">Sofia Conde </t>
  </si>
  <si>
    <t>996 087 235</t>
  </si>
  <si>
    <t>Registro de Ventas - 02-2026</t>
  </si>
  <si>
    <t xml:space="preserve">Sr. Antony Vilca </t>
  </si>
  <si>
    <t xml:space="preserve">Antony Vilca </t>
  </si>
  <si>
    <t xml:space="preserve">completo mensualidad </t>
  </si>
  <si>
    <t>Melina Mallap</t>
  </si>
  <si>
    <t>Yape Vms</t>
  </si>
  <si>
    <t xml:space="preserve">Sr. Alison Cerna </t>
  </si>
  <si>
    <t xml:space="preserve">Alison Cerna </t>
  </si>
  <si>
    <t>948 092 372</t>
  </si>
  <si>
    <t xml:space="preserve">Sra. Katy </t>
  </si>
  <si>
    <t xml:space="preserve">Alan Emir </t>
  </si>
  <si>
    <t>997 979 354</t>
  </si>
  <si>
    <t>Jair Oliver</t>
  </si>
  <si>
    <t xml:space="preserve">Cuerda de guitarra </t>
  </si>
  <si>
    <t xml:space="preserve">venta de cuerda de guitarra </t>
  </si>
  <si>
    <t>Claudia Villalobos</t>
  </si>
  <si>
    <t>Sr. Tejada (Tio)</t>
  </si>
  <si>
    <t xml:space="preserve">Jhon Tejada </t>
  </si>
  <si>
    <t>Sra . Soraya</t>
  </si>
  <si>
    <t xml:space="preserve">Mia y Daniel </t>
  </si>
  <si>
    <t>935 669 840</t>
  </si>
  <si>
    <t xml:space="preserve">Sr. Jesus Buen dia </t>
  </si>
  <si>
    <t xml:space="preserve">Liam Buen dia </t>
  </si>
  <si>
    <t>992 187 620</t>
  </si>
  <si>
    <t xml:space="preserve">Sra. Adela Aquino Rojas </t>
  </si>
  <si>
    <t xml:space="preserve">Miguel Angel Aquino </t>
  </si>
  <si>
    <t xml:space="preserve">Libros + Matricula </t>
  </si>
  <si>
    <t>Efectivo</t>
  </si>
  <si>
    <t>962 039 082</t>
  </si>
  <si>
    <t xml:space="preserve">Sra, Soledad Gonzales </t>
  </si>
  <si>
    <t xml:space="preserve">Joshua Leon Gonzales </t>
  </si>
  <si>
    <t>918 148 199</t>
  </si>
  <si>
    <t xml:space="preserve">Sr. Brucy </t>
  </si>
  <si>
    <t>Alondra Diaz Paredes</t>
  </si>
  <si>
    <t xml:space="preserve">Sra. Hemiliana </t>
  </si>
  <si>
    <t xml:space="preserve">pago de Guitarra </t>
  </si>
  <si>
    <t>991 831 785</t>
  </si>
  <si>
    <t xml:space="preserve">Sr. Rolando Sanchez </t>
  </si>
  <si>
    <t>yojandry Sánchez</t>
  </si>
  <si>
    <t xml:space="preserve">Mitad de mensualidad </t>
  </si>
  <si>
    <t>981 280 667</t>
  </si>
  <si>
    <t>Sra. Samaniego</t>
  </si>
  <si>
    <t>Estefano Samaniego</t>
  </si>
  <si>
    <t>902 211 277</t>
  </si>
  <si>
    <t>Sra. Navarrete</t>
  </si>
  <si>
    <t xml:space="preserve">Giany Navarrete </t>
  </si>
  <si>
    <t>936 018 415</t>
  </si>
  <si>
    <t>Sra. Monica Huillca</t>
  </si>
  <si>
    <t>Andre Viera</t>
  </si>
  <si>
    <t>948 138 880</t>
  </si>
  <si>
    <t xml:space="preserve">Sra. Sara </t>
  </si>
  <si>
    <t xml:space="preserve">Emiliano +Juan </t>
  </si>
  <si>
    <t>991 037 185</t>
  </si>
  <si>
    <t>cuerda 1° de violin Alice</t>
  </si>
  <si>
    <t xml:space="preserve">Sra. Lucy Castro </t>
  </si>
  <si>
    <t xml:space="preserve">Joaquin Castro </t>
  </si>
  <si>
    <t>998 552 718</t>
  </si>
  <si>
    <t xml:space="preserve">Sra. Soraya </t>
  </si>
  <si>
    <t xml:space="preserve">Daniel </t>
  </si>
  <si>
    <t xml:space="preserve">Piano </t>
  </si>
  <si>
    <t>Sr. Antony 3 niños</t>
  </si>
  <si>
    <t xml:space="preserve">Eytan, Uriel , </t>
  </si>
  <si>
    <t>977 783 340</t>
  </si>
  <si>
    <t xml:space="preserve">Miguel Angel Miranda </t>
  </si>
  <si>
    <t xml:space="preserve">Sra. Junny </t>
  </si>
  <si>
    <t>Richard Sulca</t>
  </si>
  <si>
    <t xml:space="preserve">matricula </t>
  </si>
  <si>
    <t>980 711 441</t>
  </si>
  <si>
    <t>Soledad Gonzales</t>
  </si>
  <si>
    <t>Jhosua Meza</t>
  </si>
  <si>
    <t>Restante mensualidad</t>
  </si>
  <si>
    <t>Alex Davalos</t>
  </si>
  <si>
    <t>Gonzalo Rodriguez</t>
  </si>
  <si>
    <t xml:space="preserve">Sr Minaya </t>
  </si>
  <si>
    <t xml:space="preserve">Bianca Minaya </t>
  </si>
  <si>
    <t>987 929 781</t>
  </si>
  <si>
    <t xml:space="preserve">Sr. Richard </t>
  </si>
  <si>
    <t xml:space="preserve">Ricardo Junior </t>
  </si>
  <si>
    <t>945 130 639</t>
  </si>
  <si>
    <t xml:space="preserve">Sr. Yojandry </t>
  </si>
  <si>
    <t xml:space="preserve"> Yojandry </t>
  </si>
  <si>
    <t xml:space="preserve">Sra. Magdalena </t>
  </si>
  <si>
    <t xml:space="preserve">Romina </t>
  </si>
  <si>
    <t>956 249 085</t>
  </si>
  <si>
    <t xml:space="preserve"> 967 541 897</t>
  </si>
  <si>
    <t xml:space="preserve">Sra. Sandoval </t>
  </si>
  <si>
    <t xml:space="preserve">Dayana y Rodrigo </t>
  </si>
  <si>
    <t xml:space="preserve"> 993 172 660</t>
  </si>
  <si>
    <t xml:space="preserve">Bryan fajardo </t>
  </si>
  <si>
    <t xml:space="preserve">cuerda de guitarra </t>
  </si>
  <si>
    <t xml:space="preserve">Sra . Lesly Huerta </t>
  </si>
  <si>
    <t xml:space="preserve">Iker Consilla </t>
  </si>
  <si>
    <t>983 337 564</t>
  </si>
  <si>
    <t>Aylas Aquino, Rudecindo</t>
  </si>
  <si>
    <t xml:space="preserve">Aylas Becerra, Danae Alexa
</t>
  </si>
  <si>
    <t>995 696 987</t>
  </si>
  <si>
    <t>Paredes Espinoza, Brucy</t>
  </si>
  <si>
    <t xml:space="preserve">Paredes Diaz, Alondra
</t>
  </si>
  <si>
    <t>942 825 615</t>
  </si>
  <si>
    <t xml:space="preserve">Adela Aquina </t>
  </si>
  <si>
    <t xml:space="preserve">completo mensualidad promo 3 meses </t>
  </si>
  <si>
    <t xml:space="preserve">Sr, Jose Saldaña </t>
  </si>
  <si>
    <t xml:space="preserve">Cristina y Jasmin </t>
  </si>
  <si>
    <t>954 793 065</t>
  </si>
  <si>
    <t>Antonella</t>
  </si>
  <si>
    <t xml:space="preserve">cajon </t>
  </si>
  <si>
    <t>Sr, Carlos Rodriguez</t>
  </si>
  <si>
    <t>Tiara</t>
  </si>
  <si>
    <t>949 370 768</t>
  </si>
  <si>
    <t>Sra:Orejitas Gamarra, Verónica</t>
  </si>
  <si>
    <t>Rodriguez Orejitas, Fernando Alejandro</t>
  </si>
  <si>
    <t>904 549 186</t>
  </si>
  <si>
    <t xml:space="preserve">Sr.Gonzáles Quispe, Jonathan
</t>
  </si>
  <si>
    <t>Gonzáles Polo, Andreu</t>
  </si>
  <si>
    <t>984 977 474</t>
  </si>
  <si>
    <t xml:space="preserve">Cristian </t>
  </si>
  <si>
    <t xml:space="preserve">venta de producto </t>
  </si>
  <si>
    <t xml:space="preserve">Evelyn Bances </t>
  </si>
  <si>
    <t>Samy Nayra Erazo</t>
  </si>
  <si>
    <t xml:space="preserve">Matricula </t>
  </si>
  <si>
    <t>925 494 030</t>
  </si>
  <si>
    <t xml:space="preserve">Sr. Max Estela </t>
  </si>
  <si>
    <t xml:space="preserve">Max Estela </t>
  </si>
  <si>
    <t>936 303 651</t>
  </si>
  <si>
    <t xml:space="preserve">Sr. Soledad </t>
  </si>
  <si>
    <t xml:space="preserve">Leon Gonzales, Joshua
</t>
  </si>
  <si>
    <t>Transferencia</t>
  </si>
  <si>
    <t>Sr, Alida Salome</t>
  </si>
  <si>
    <t xml:space="preserve">Joshua </t>
  </si>
  <si>
    <t>Mensualidad, matrícula y útiles</t>
  </si>
  <si>
    <t>962 094 844</t>
  </si>
  <si>
    <t xml:space="preserve">Anais </t>
  </si>
  <si>
    <t>Pago saldo de violin fever</t>
  </si>
  <si>
    <t>949 333 433</t>
  </si>
  <si>
    <t>Mensualidad de clases de guitarra</t>
  </si>
  <si>
    <t>Huillca Huamani, Mónica</t>
  </si>
  <si>
    <t>Venta Instrumento musical sapito</t>
  </si>
  <si>
    <t xml:space="preserve">Sr. Abel Cordova </t>
  </si>
  <si>
    <t xml:space="preserve">Andy Cordova </t>
  </si>
  <si>
    <t>Efectivo Alex</t>
  </si>
  <si>
    <t>950 583 920</t>
  </si>
  <si>
    <t>EDWARD HUMBERTO LOPEZ DIESTRA</t>
  </si>
  <si>
    <t xml:space="preserve">Valentino </t>
  </si>
  <si>
    <t>987 647 322</t>
  </si>
  <si>
    <t>Merly Cavero</t>
  </si>
  <si>
    <t>Lyanna Villegas</t>
  </si>
  <si>
    <t xml:space="preserve">Diego Garcia </t>
  </si>
  <si>
    <t>Sr. Gustavo Suarez</t>
  </si>
  <si>
    <t xml:space="preserve">Yamir </t>
  </si>
  <si>
    <t>985 501 740</t>
  </si>
  <si>
    <t>Sonia Pucyura</t>
  </si>
  <si>
    <t>Carlomagno De La Cruz</t>
  </si>
  <si>
    <t>Mensualidad de clases</t>
  </si>
  <si>
    <t>Cristian Chacon</t>
  </si>
  <si>
    <t>JOSE LUIS CORRO NAVARRO</t>
  </si>
  <si>
    <t>Rafaella Corro</t>
  </si>
  <si>
    <t>Mensualidad de clases de canto</t>
  </si>
  <si>
    <t>Janet Galarreta</t>
  </si>
  <si>
    <t>Gabriel Alvaes</t>
  </si>
  <si>
    <t xml:space="preserve">Richard Sulca </t>
  </si>
  <si>
    <t xml:space="preserve">Sanchez Arata, Paola Karina
</t>
  </si>
  <si>
    <t xml:space="preserve">Sanches Sanchez, Liam Jesús
</t>
  </si>
  <si>
    <t xml:space="preserve">Sr. Giampier </t>
  </si>
  <si>
    <t>cambio de clavijero + set de cuerdas americanas metal</t>
  </si>
  <si>
    <t xml:space="preserve">Alvan Souza, Luz Elena
</t>
  </si>
  <si>
    <t xml:space="preserve">Bellido Alvan, Mia Lucero
</t>
  </si>
  <si>
    <t>LESSLY HUERTA ESPINOZA</t>
  </si>
  <si>
    <t xml:space="preserve">Anahi Urquizo </t>
  </si>
  <si>
    <t xml:space="preserve">Sr. Eduardo </t>
  </si>
  <si>
    <t>Guitarra Vera MODELO C600C-24PP 1/2</t>
  </si>
  <si>
    <t xml:space="preserve">1 correa nacional,:25 </t>
  </si>
  <si>
    <t>Roselindo Richard Huamán Gutierrez</t>
  </si>
  <si>
    <t xml:space="preserve">Junior huaman </t>
  </si>
  <si>
    <t>Registro de Ventas - 03-2026</t>
  </si>
  <si>
    <t>Bulnes Tijero, Elizabeth</t>
  </si>
  <si>
    <t>De La Cruz Bulnes, Ana Paula Camila</t>
  </si>
  <si>
    <t xml:space="preserve">Mariluz Liliana Meza </t>
  </si>
  <si>
    <t>Jofred Sanchez</t>
  </si>
  <si>
    <t>Vasquez Terrones, Isaac</t>
  </si>
  <si>
    <t>Vasquez Portocarrero, Mateo Benjamin</t>
  </si>
  <si>
    <t xml:space="preserve">mitad de la Mensualidad </t>
  </si>
  <si>
    <t>Jerry Flores</t>
  </si>
  <si>
    <t>No aplica</t>
  </si>
  <si>
    <t>Cuerda 1 de metal para acustica</t>
  </si>
  <si>
    <t>Efectivo Vms</t>
  </si>
  <si>
    <t>Mariluz Liliana Meza Blas</t>
  </si>
  <si>
    <t xml:space="preserve">Sanchez Meza, Jofred Amadeo
</t>
  </si>
  <si>
    <t xml:space="preserve">3 meses de mensualidad + libros </t>
  </si>
  <si>
    <t>Paigua, Sara</t>
  </si>
  <si>
    <t>Gonzales Paigua, Emiliano</t>
  </si>
  <si>
    <t xml:space="preserve">Cristian Paolo Jara Perea </t>
  </si>
  <si>
    <t>Eytan Jara</t>
  </si>
  <si>
    <t xml:space="preserve">Jeans </t>
  </si>
  <si>
    <t xml:space="preserve">horas de piano </t>
  </si>
  <si>
    <t xml:space="preserve">cuerdas de violin </t>
  </si>
  <si>
    <t>Anton Rodriguez, Anthony</t>
  </si>
  <si>
    <t xml:space="preserve">Antony , Uriel y Eytan </t>
  </si>
  <si>
    <t>Flores Zavaleta, Alfonso</t>
  </si>
  <si>
    <t>Flores Minaya, Bianca</t>
  </si>
  <si>
    <t>Mitma Mamani, Yolanda</t>
  </si>
  <si>
    <t>Huerta Mitma, Juan Diego</t>
  </si>
  <si>
    <t>Noblecilla, Leonardo</t>
  </si>
  <si>
    <t>YORDY RONI MAYHUA NINA</t>
  </si>
  <si>
    <t>venta guitarra ymaha c 40  y funda color</t>
  </si>
  <si>
    <t>xilófono cromático más estuche acolchado</t>
  </si>
  <si>
    <t>Carmen Condori</t>
  </si>
  <si>
    <t>Steban Arias</t>
  </si>
  <si>
    <t xml:space="preserve">Kiara Canevaro </t>
  </si>
  <si>
    <t xml:space="preserve">Alphonse Cornelio </t>
  </si>
  <si>
    <t>N/C</t>
  </si>
  <si>
    <t xml:space="preserve">Sanchez Leonardo, Rolando Fidel
</t>
  </si>
  <si>
    <t>Sanchez Justa, Johandry Henry</t>
  </si>
  <si>
    <t>completo mensualidad febrero</t>
  </si>
  <si>
    <t>Mensualidad y libros</t>
  </si>
  <si>
    <t xml:space="preserve">Yovana Quecho </t>
  </si>
  <si>
    <t>Sebastian, Adrian , Angie y Renzo</t>
  </si>
  <si>
    <t>Matricula,utiles y mensualidad</t>
  </si>
  <si>
    <t>funda para guitarra simple</t>
  </si>
  <si>
    <t xml:space="preserve">Diego Velasquez </t>
  </si>
  <si>
    <t xml:space="preserve">Gabriel Velasquez </t>
  </si>
  <si>
    <t>Diaz Cespedes, Hemiliana</t>
  </si>
  <si>
    <t>Huapaya Cuzcano, Jessica Nadia</t>
  </si>
  <si>
    <t>De La Cruz Huapaya, Romina Nathaly</t>
  </si>
  <si>
    <t>amplificador  ( adelanto de 20 )</t>
  </si>
  <si>
    <t>Victor vega</t>
  </si>
  <si>
    <t xml:space="preserve">Victor </t>
  </si>
  <si>
    <t xml:space="preserve">Zampoña </t>
  </si>
  <si>
    <t>Soledad</t>
  </si>
  <si>
    <t>Tomas</t>
  </si>
  <si>
    <t>Clase Libre</t>
  </si>
  <si>
    <t>Evelyn</t>
  </si>
  <si>
    <t>Nayra</t>
  </si>
  <si>
    <t xml:space="preserve">Nueva Mensualidad </t>
  </si>
  <si>
    <t>Claudia Gallegos</t>
  </si>
  <si>
    <t>venta de ukulele mephis mas correa</t>
  </si>
  <si>
    <t>Ronald Venero</t>
  </si>
  <si>
    <t>Anai Venero</t>
  </si>
  <si>
    <t>Nueva Mensualidad , matrícula y libros</t>
  </si>
  <si>
    <t xml:space="preserve">Jayna </t>
  </si>
  <si>
    <t xml:space="preserve">Jacob </t>
  </si>
  <si>
    <t xml:space="preserve">matricula + libros </t>
  </si>
  <si>
    <t xml:space="preserve">Susy chosec jimenez </t>
  </si>
  <si>
    <t>Susya rafael.chosec</t>
  </si>
  <si>
    <t>Christian Jara</t>
  </si>
  <si>
    <t>Piano California GM-230 +piano</t>
  </si>
  <si>
    <t>Rodriguez De La Rosa, Carlos Roberto</t>
  </si>
  <si>
    <t>Rodriguez Fernandez, Tiara Valentina</t>
  </si>
  <si>
    <t xml:space="preserve">Julia </t>
  </si>
  <si>
    <t xml:space="preserve">Flauta dulce </t>
  </si>
  <si>
    <t xml:space="preserve">amplificador </t>
  </si>
  <si>
    <t xml:space="preserve">Nelida Espinoza </t>
  </si>
  <si>
    <t>Alonso Pineda Espinoza</t>
  </si>
  <si>
    <t xml:space="preserve">Guisella susana Gomez Rodriguez </t>
  </si>
  <si>
    <t xml:space="preserve">Yadira shantal Conde Gomez </t>
  </si>
  <si>
    <t>Emiliana Dias</t>
  </si>
  <si>
    <t>cuerda 4,5,6 de naylon alice</t>
  </si>
  <si>
    <t>Rosangela Condeza</t>
  </si>
  <si>
    <t>cajon semipofesional mas funda</t>
  </si>
  <si>
    <t>Hanna Gonzales</t>
  </si>
  <si>
    <t>1 de metal para acustica</t>
  </si>
  <si>
    <t>Galarreta Sanches, Janet</t>
  </si>
  <si>
    <t>Álvarez Galarreta, Gabriel Fabiano</t>
  </si>
  <si>
    <t>Clase Libre Yamil</t>
  </si>
  <si>
    <t>CLASE PARTICULAR (PIANO)</t>
  </si>
  <si>
    <t>Soledad Duran</t>
  </si>
  <si>
    <t>Clase Libre Tomás</t>
  </si>
  <si>
    <t>Garcia, Maria</t>
  </si>
  <si>
    <t>Estela Nuñes, Max Benjamin</t>
  </si>
  <si>
    <t xml:space="preserve">Alvan Souza, Luz Elena
</t>
  </si>
  <si>
    <t>guitarra electrica +amplificador+cable+funda</t>
  </si>
  <si>
    <t>xilofono 1/8 venturi azul</t>
  </si>
  <si>
    <t>Giovana Qquecho</t>
  </si>
  <si>
    <t>kalimba importada 16 teclas motivo navideño</t>
  </si>
  <si>
    <t>xilofono 1/8 venturi rojo</t>
  </si>
  <si>
    <t>Giancarlos Gonzales</t>
  </si>
  <si>
    <t>funda de xilofono 2/8</t>
  </si>
  <si>
    <t>Salazar Paucar Gustavo</t>
  </si>
  <si>
    <t>Suarez Salazar, Yamir</t>
  </si>
  <si>
    <t>ZAMPOÑA</t>
  </si>
  <si>
    <t>FLAUTA</t>
  </si>
  <si>
    <t>FRANCHESCA Paz</t>
  </si>
  <si>
    <t xml:space="preserve">FRANCHESCO </t>
  </si>
  <si>
    <t>Hermano misisonero</t>
  </si>
  <si>
    <t xml:space="preserve">cuerdas de guitarra </t>
  </si>
  <si>
    <t>Xiomara Goicochea</t>
  </si>
  <si>
    <t>PIANO | P -150 -DEBE 149</t>
  </si>
  <si>
    <t xml:space="preserve">JHON PINEDA </t>
  </si>
  <si>
    <t xml:space="preserve">ALONSO PINEDA </t>
  </si>
  <si>
    <t>PIANO | P- 200  DEBE  199,00</t>
  </si>
  <si>
    <t>Walther Manuel Ramos Orihuela</t>
  </si>
  <si>
    <t xml:space="preserve">Aylas Aquino, Rudecindo
</t>
  </si>
  <si>
    <t>Aylas Becerra, Danae Alexa</t>
  </si>
  <si>
    <t xml:space="preserve">Angel Rivera </t>
  </si>
  <si>
    <t>Mensualidad +Libros | 97,00 debe 329,00</t>
  </si>
  <si>
    <t xml:space="preserve">Mariano Herazo Gonzales </t>
  </si>
  <si>
    <t>Funda simple de ukulele</t>
  </si>
  <si>
    <t xml:space="preserve">Ingrid Guitierrez Tenorio </t>
  </si>
  <si>
    <t xml:space="preserve">Keytin Rosemi Solsol </t>
  </si>
  <si>
    <t xml:space="preserve">Kalessi Dalezka Solsol  </t>
  </si>
  <si>
    <t xml:space="preserve">Llallahui Ochante, Genoveva
</t>
  </si>
  <si>
    <t>Mesa Llallahui, Andrea Fernanda</t>
  </si>
  <si>
    <t>Promo 3 meses /P- 300 DEBE 483.00</t>
  </si>
  <si>
    <t xml:space="preserve">Bruno Albites Sosa </t>
  </si>
  <si>
    <t xml:space="preserve">Luis Albitres </t>
  </si>
  <si>
    <t xml:space="preserve">Corro Navarro, Jose
</t>
  </si>
  <si>
    <t>Corro Salas, Raffaela Oriana</t>
  </si>
  <si>
    <t xml:space="preserve">Paredes Espinoza Brucy
</t>
  </si>
  <si>
    <t>Paredes Diaz, Alondra</t>
  </si>
  <si>
    <t>JAMIL Sindrome de down</t>
  </si>
  <si>
    <t>Sindrome de down</t>
  </si>
  <si>
    <t>TOMAS ( T,A)</t>
  </si>
  <si>
    <t xml:space="preserve">Cavero Durand, Merly Andrea
</t>
  </si>
  <si>
    <t>Villegas Cavero, Lyanna Valentina</t>
  </si>
  <si>
    <t>Sulca, Ricardo</t>
  </si>
  <si>
    <t xml:space="preserve">Sulca Porras, Richard Samuel
</t>
  </si>
  <si>
    <t xml:space="preserve">Ramos Torrez, Liz Joseline
</t>
  </si>
  <si>
    <t>Mateo Malpartina R.</t>
  </si>
  <si>
    <t>Percy papa de Alondra</t>
  </si>
  <si>
    <t>Capotraste De Pinza P/ Guitarra Romeo R007c Wh Y Bk				
|</t>
  </si>
  <si>
    <t>Pumahuillca Ppacco, Erika</t>
  </si>
  <si>
    <t>Pariona Pumahuillca, Juan Mateo Azael</t>
  </si>
  <si>
    <t>Edson onofre</t>
  </si>
  <si>
    <t>Juego cuerdas de metal acustica daddario</t>
  </si>
  <si>
    <t xml:space="preserve">Chuchaca Ccañihua Alex </t>
  </si>
  <si>
    <t>Registro de Ventas - 04-2026</t>
  </si>
  <si>
    <t xml:space="preserve">Mensualidad completa mes de abril </t>
  </si>
  <si>
    <t>Paola Sanchez</t>
  </si>
  <si>
    <t>Sanches Sanchez, Liam Jesús</t>
  </si>
  <si>
    <t xml:space="preserve">Mensualidad pagada marzo y abril promo s/ 197,00 </t>
  </si>
  <si>
    <t>PADRE JHON PINEDA</t>
  </si>
  <si>
    <t>Pineda Espinoza, Alonso</t>
  </si>
  <si>
    <t>Sara Paigua Gallardo</t>
  </si>
  <si>
    <t>Juan Adrian Gonzales Paigua</t>
  </si>
  <si>
    <t xml:space="preserve">Mensualidad completa abril </t>
  </si>
  <si>
    <t>Alfred Emiliano Gonzales Paigua.</t>
  </si>
  <si>
    <t xml:space="preserve">Huerta Espinoza, Lessly
</t>
  </si>
  <si>
    <t>Conislla Huerta, Iker Samín</t>
  </si>
  <si>
    <t xml:space="preserve">Mensualidad completa mes de marzo </t>
  </si>
  <si>
    <t>Juan Aquise</t>
  </si>
  <si>
    <t xml:space="preserve">Capotraste De Pinza California Cp-002 Negro </t>
  </si>
  <si>
    <t xml:space="preserve">venta atril partitura Fever FV-266				</t>
  </si>
  <si>
    <t>Kevin Gonzales</t>
  </si>
  <si>
    <t>cuerda 1 de naylon</t>
  </si>
  <si>
    <t>pua de guitarra alice</t>
  </si>
  <si>
    <t>Maria Mar</t>
  </si>
  <si>
    <t>Xilofono 2/8 venturi azul mas funda</t>
  </si>
  <si>
    <t>cajon # 2 natural</t>
  </si>
  <si>
    <t xml:space="preserve">Huatuco Ayala, Briggith Karolay
</t>
  </si>
  <si>
    <t xml:space="preserve">Pazos Huatuco, Karlitos Fabrizio
</t>
  </si>
  <si>
    <t xml:space="preserve">libros +matricula </t>
  </si>
  <si>
    <t xml:space="preserve">Jhacks Mijail Tiwi Wajai 
</t>
  </si>
  <si>
    <t xml:space="preserve">Jhacks Mijail Tiwi Wajai </t>
  </si>
  <si>
    <t xml:space="preserve">Mensualidad completa / adelanto 150 debe 244,00 </t>
  </si>
  <si>
    <t xml:space="preserve">Huapaya Cuzcano, Jessica Nadia
</t>
  </si>
  <si>
    <t>Cruz Huapaya, Romina Nathaly</t>
  </si>
  <si>
    <t>Efectivo Claudia</t>
  </si>
  <si>
    <t xml:space="preserve">Jara Perea, Cristian Paolo
</t>
  </si>
  <si>
    <t xml:space="preserve">Jara Saldarriaga, Ethan Paolo </t>
  </si>
  <si>
    <t>Jhacks Mijail Tiwi Wajai</t>
  </si>
  <si>
    <t>Pago de saldo</t>
  </si>
  <si>
    <t>Oscar Augusto Burgos</t>
  </si>
  <si>
    <t>asiento de bateria acustica FV-1B</t>
  </si>
  <si>
    <t>Walther Ramos</t>
  </si>
  <si>
    <t>parante para piano estándar nacional</t>
  </si>
  <si>
    <t>Victor Peceros</t>
  </si>
  <si>
    <t>Flauta dulce ysre 23</t>
  </si>
  <si>
    <t>Gerardo Antonio lucano Diaz</t>
  </si>
  <si>
    <t>xilofono  2/8 azul venturi mas funda</t>
  </si>
  <si>
    <t xml:space="preserve">Anderson </t>
  </si>
  <si>
    <t>funda</t>
  </si>
  <si>
    <t xml:space="preserve">cuerda 4 guitarra </t>
  </si>
  <si>
    <t xml:space="preserve">Condori Torres, Carmen Angelica
</t>
  </si>
  <si>
    <t xml:space="preserve">Arias Condori, Steban Andres
</t>
  </si>
  <si>
    <t>JAMIL Síndrome de down</t>
  </si>
  <si>
    <t xml:space="preserve">pago de clase </t>
  </si>
  <si>
    <t>TOMAS Condición T.A.</t>
  </si>
  <si>
    <t xml:space="preserve">Junior Gabriel ,Ángel Uriel,Eitan Anthony </t>
  </si>
  <si>
    <t xml:space="preserve">pago parte de su mensualidad </t>
  </si>
  <si>
    <t>Melisa Sulca</t>
  </si>
  <si>
    <t>Carlos Del Quiroz</t>
  </si>
  <si>
    <t>Conde Galindo, Aniceto</t>
  </si>
  <si>
    <t xml:space="preserve">Conde, Sofía Valentina
</t>
  </si>
  <si>
    <t>Parte de la mensualidad de abril falta 97,00</t>
  </si>
  <si>
    <t xml:space="preserve">Pierina Valentin Ricaldi </t>
  </si>
  <si>
    <t>Yuriana Moscoso</t>
  </si>
  <si>
    <t>Cortez Basteres, Maria Isabel</t>
  </si>
  <si>
    <t xml:space="preserve">Huamali Cortez, Carla Isabel,Huamali Cortez, Caleb Marcos
</t>
  </si>
  <si>
    <t xml:space="preserve">Mensualidad mitad </t>
  </si>
  <si>
    <t>Valladolid Ayala, Santiago Joel</t>
  </si>
  <si>
    <t xml:space="preserve">Santiago Mathias Valladolid Sanchez </t>
  </si>
  <si>
    <t>Glendy Gomero</t>
  </si>
  <si>
    <t>Melodica de 37 teclas California anaranjado</t>
  </si>
  <si>
    <t xml:space="preserve">Paz Bazan, Francesca
</t>
  </si>
  <si>
    <t>Irribarren Paz, Francesco</t>
  </si>
  <si>
    <t>teclado</t>
  </si>
  <si>
    <t>Arias Condori, Steban Andres</t>
  </si>
  <si>
    <t xml:space="preserve">libros de bateria </t>
  </si>
  <si>
    <t xml:space="preserve">Laura Veronica Picón </t>
  </si>
  <si>
    <t xml:space="preserve">Krizia Veronica Verastequi </t>
  </si>
  <si>
    <t>1,119.00</t>
  </si>
  <si>
    <t>Yanette Gianina Villajuan Baltazar</t>
  </si>
  <si>
    <t>Baquetas marca Especial</t>
  </si>
  <si>
    <t>Gomez Rodriguez, Gissella Susana</t>
  </si>
  <si>
    <t xml:space="preserve">Conde Gomez, Yadira Shantal
</t>
  </si>
  <si>
    <t>carlos huamali cortez</t>
  </si>
  <si>
    <t xml:space="preserve">Meza Salome, Jhosua Ruben
</t>
  </si>
  <si>
    <t xml:space="preserve">Meza Salome, Jhosua Ruben
</t>
  </si>
  <si>
    <t xml:space="preserve">Venta de Guitarra </t>
  </si>
  <si>
    <t>Genoveva</t>
  </si>
  <si>
    <t>Andrea Mesa</t>
  </si>
  <si>
    <t>Restante de mensualidad</t>
  </si>
  <si>
    <t xml:space="preserve">Yovana Curi </t>
  </si>
  <si>
    <t xml:space="preserve">Angi curi y Renzo Curi </t>
  </si>
  <si>
    <t>Velasquez Argomedo, Diego Emerson</t>
  </si>
  <si>
    <t>Velasquez Cruz, Gabriel Adiel</t>
  </si>
  <si>
    <t>Estela Nuñes, William</t>
  </si>
  <si>
    <t xml:space="preserve">Fredy´ Pillaca Quispe </t>
  </si>
  <si>
    <t xml:space="preserve">Fredy Pillaca Quispe </t>
  </si>
  <si>
    <t xml:space="preserve">Conde Galindo, Aniceto
</t>
  </si>
  <si>
    <t>Conde Sofía Valentina</t>
  </si>
  <si>
    <t xml:space="preserve">completo el pago de abril </t>
  </si>
  <si>
    <t>Cambio de cuerda + Pua</t>
  </si>
  <si>
    <t>Venta de Buho</t>
  </si>
  <si>
    <t xml:space="preserve">Luisana fuentes mejias </t>
  </si>
  <si>
    <t>Ainhoa Saray Ramirez Fuentes</t>
  </si>
  <si>
    <t xml:space="preserve">estimulacion musical </t>
  </si>
  <si>
    <t xml:space="preserve">Espinoza Merma, Nelida
</t>
  </si>
  <si>
    <t>Ramos Rodriguez, Adrian Gabriel</t>
  </si>
  <si>
    <t xml:space="preserve">Tomas </t>
  </si>
  <si>
    <t>clases 75,00 (2 clases )</t>
  </si>
  <si>
    <t>Chosec Jimenez, Susy</t>
  </si>
  <si>
    <t>Rafael Chosec, Susy Dayana</t>
  </si>
  <si>
    <t>Paz Bazan, Francesca</t>
  </si>
  <si>
    <r>
      <rPr>
        <color rgb="FF1155CC"/>
        <u/>
      </rPr>
      <t>Irribarren Paz, Francesco</t>
    </r>
  </si>
  <si>
    <t>Venero Beingolea, Ronald</t>
  </si>
  <si>
    <t>Venero Varela, Anai elizabeth</t>
  </si>
  <si>
    <t>Calet</t>
  </si>
  <si>
    <t>no aplica</t>
  </si>
  <si>
    <t>Amplificador Sounking Vms - Pua Vms - Cable Fender Vms</t>
  </si>
  <si>
    <t>Dayiro</t>
  </si>
  <si>
    <t>Pua Claudia Store</t>
  </si>
  <si>
    <t>GONZALEZ CUBAS JOSE ANGEL .</t>
  </si>
  <si>
    <t xml:space="preserve">Mensualidad, matrícula, útiles completa abril </t>
  </si>
  <si>
    <t>Victor castillo astuyauri</t>
  </si>
  <si>
    <t>Mathew</t>
  </si>
  <si>
    <t>Bellido Alvan, Mia Lucero</t>
  </si>
  <si>
    <t>Daniel Umachaqui</t>
  </si>
  <si>
    <t>cuerdas de guitarra</t>
  </si>
  <si>
    <t xml:space="preserve">tomas </t>
  </si>
  <si>
    <t xml:space="preserve">Clase particular de piano </t>
  </si>
  <si>
    <t>Erika Rossana  Sulca Puma</t>
  </si>
  <si>
    <t>Mireya Ariana Vergara Sulca</t>
  </si>
  <si>
    <t>Julio Conisilla</t>
  </si>
  <si>
    <t>Mensualidad de Iker</t>
  </si>
  <si>
    <t xml:space="preserve">.Andres Garcia </t>
  </si>
  <si>
    <t>ukulele kala modelo kiwi + capotraste</t>
  </si>
  <si>
    <t>Kaled Villajuan</t>
  </si>
  <si>
    <t>pua de guitarra big</t>
  </si>
  <si>
    <t>Ramos Torrez, Liz Joseline</t>
  </si>
  <si>
    <t>Malpartina Ramos, Mateo Salvador</t>
  </si>
  <si>
    <t>Corro Navarro, Jose</t>
  </si>
  <si>
    <t>Salomé Huali, Alida</t>
  </si>
  <si>
    <t>Meza Salome, Jhosua Ruben</t>
  </si>
  <si>
    <t>Adrian</t>
  </si>
  <si>
    <t>Cuerdas Ddario</t>
  </si>
  <si>
    <t>Gina Sandra Campoo Zapata</t>
  </si>
  <si>
    <t>Luhanna Alessandra Vilela Campoo -Luana Tiziana Castro Huaman</t>
  </si>
  <si>
    <t xml:space="preserve">Pago clases semanal </t>
  </si>
  <si>
    <t>Neiser Martinez</t>
  </si>
  <si>
    <t>microfono</t>
  </si>
  <si>
    <t>Jackeline</t>
  </si>
  <si>
    <t>Karla</t>
  </si>
  <si>
    <t>Matrícula y útiles de Karla</t>
  </si>
  <si>
    <t xml:space="preserve">Huamali Cortez, Caleb Marcos
</t>
  </si>
  <si>
    <t xml:space="preserve">completar mensualidad </t>
  </si>
  <si>
    <t xml:space="preserve">Juan Adrian Gonzales Paigua y emiliano </t>
  </si>
  <si>
    <t>completar mensualidad mayo</t>
  </si>
  <si>
    <t>Clase particular de piano (completto)</t>
  </si>
  <si>
    <t>Registro de Ventas - 05-2026</t>
  </si>
  <si>
    <t>Aquino Suarez, Adela</t>
  </si>
  <si>
    <t xml:space="preserve">Miranda Aquino, Miguel Angel
</t>
  </si>
  <si>
    <t xml:space="preserve">Mensualidad completa Mayo </t>
  </si>
  <si>
    <t xml:space="preserve">Piano Juvenil </t>
  </si>
  <si>
    <t xml:space="preserve">Anton Junior , Uriel , Eitan </t>
  </si>
  <si>
    <t>bateria Junior ( uriel)-guitarra junior  (Anton Junior)-Eitan Chapi (piano Junior)</t>
  </si>
  <si>
    <t>Sanchez Leonardo, Rolando Fidel</t>
  </si>
  <si>
    <t>Parte de mensualidad de Mayo ( falta 147,00)</t>
  </si>
  <si>
    <t xml:space="preserve">Bateria Juvenil </t>
  </si>
  <si>
    <t>Jackeline  Garcia Guerra, Karla</t>
  </si>
  <si>
    <t>Garcia Guerra, Karla</t>
  </si>
  <si>
    <t xml:space="preserve">Violin Junior </t>
  </si>
  <si>
    <t>Gina Campoo</t>
  </si>
  <si>
    <t>Correa importada delgada</t>
  </si>
  <si>
    <t>clases particulares ( guitarra)</t>
  </si>
  <si>
    <t>MARIA EDY VÁSQUEZ ZAMORA</t>
  </si>
  <si>
    <t xml:space="preserve"> ADONIS YERET TOCAS VÁSQUEZ</t>
  </si>
  <si>
    <t xml:space="preserve">Mes de mayo  - Matricula +libros </t>
  </si>
  <si>
    <t xml:space="preserve">Canto juvenil </t>
  </si>
  <si>
    <t>Mensualidad mayo</t>
  </si>
  <si>
    <t>Rafael</t>
  </si>
  <si>
    <t xml:space="preserve">venta de cuerdas </t>
  </si>
  <si>
    <t>Soledad ccanchi Chalco</t>
  </si>
  <si>
    <t xml:space="preserve">Clases particulares </t>
  </si>
  <si>
    <t>Clases particulares (piano junior)</t>
  </si>
  <si>
    <t>Francesca</t>
  </si>
  <si>
    <t>Francesco</t>
  </si>
  <si>
    <t>Alquiler de piano</t>
  </si>
  <si>
    <t>Wajai, Jhacks Mijail Tiwi</t>
  </si>
  <si>
    <t xml:space="preserve">Mensualidad mes de mayo </t>
  </si>
  <si>
    <t xml:space="preserve">Canto Juvenil </t>
  </si>
  <si>
    <t>Marlita</t>
  </si>
  <si>
    <t>Jamil</t>
  </si>
  <si>
    <t>Saldo alquiler de piano</t>
  </si>
  <si>
    <t xml:space="preserve">Piano Junior </t>
  </si>
  <si>
    <t>Alquiler de amp. de Guitarra Marshall ( dejo en total 280, devolver el viernes 200 )</t>
  </si>
  <si>
    <t>Samaniego Castro, Milagros</t>
  </si>
  <si>
    <t>Yrco Samaniego, Stefano</t>
  </si>
  <si>
    <t>mensualidad mayo ( retención 12% )</t>
  </si>
  <si>
    <t xml:space="preserve">Bateria Junior </t>
  </si>
  <si>
    <t>Cable fender 5m ( tenia a cuenta 200, solo se le devolvio 140 )</t>
  </si>
  <si>
    <t>Leon Gonzales, Joshua Jair</t>
  </si>
  <si>
    <t>mensualidad de Mayo (Promo 3 meses ) mitad</t>
  </si>
  <si>
    <t xml:space="preserve">guitarra juvenil </t>
  </si>
  <si>
    <t>Jara Perea, Cristian Paolo</t>
  </si>
  <si>
    <t>Jara Saldarriaga, Ethan</t>
  </si>
  <si>
    <t xml:space="preserve">mensualidad mayo </t>
  </si>
  <si>
    <t xml:space="preserve">piano infantil </t>
  </si>
  <si>
    <t xml:space="preserve">clases particulares de piano </t>
  </si>
  <si>
    <t xml:space="preserve">Mariluz Huamancha Jacinto </t>
  </si>
  <si>
    <t xml:space="preserve">Dylan Gael Perez Hauamancha </t>
  </si>
  <si>
    <t>mensualidad mayo (libros y matricula) Saldo:522</t>
  </si>
  <si>
    <t xml:space="preserve">Canto Junior + canto adulto </t>
  </si>
  <si>
    <t>Valladolid Sanchez, Santiago Mathias</t>
  </si>
  <si>
    <t xml:space="preserve">Doris Anamelba Mendez Peche </t>
  </si>
  <si>
    <t xml:space="preserve">Geraldine Serrano Mendez </t>
  </si>
  <si>
    <t>parte de la mensualidad mayo Saldo:74</t>
  </si>
  <si>
    <t>Picón de Verástegui, Laura Verónica</t>
  </si>
  <si>
    <t>Verástegui Picón, Krizia Verónica y Picón, Thiago Manuel</t>
  </si>
  <si>
    <t xml:space="preserve">Guitarra juvenil +Piano Junior </t>
  </si>
  <si>
    <t xml:space="preserve">Renzo Curi y Angy Curi </t>
  </si>
  <si>
    <t xml:space="preserve">Guitarra juvenil +Canto juvenil </t>
  </si>
  <si>
    <t xml:space="preserve">Enma Vilcapoma Coaguila </t>
  </si>
  <si>
    <t xml:space="preserve">Matias Gabriel Quispe Vilcapoma </t>
  </si>
  <si>
    <t>mensualidad mayo ( matricula y libros )</t>
  </si>
  <si>
    <t>Gonzales Castro, Soledad</t>
  </si>
  <si>
    <t xml:space="preserve">completo promoción 3 meses </t>
  </si>
  <si>
    <t xml:space="preserve">completo mensualidad mayo </t>
  </si>
  <si>
    <t>Diana Soto Serrano</t>
  </si>
  <si>
    <t>Luis Soto Soto e Ivana Soto Soto</t>
  </si>
  <si>
    <t xml:space="preserve">Piano Junior + Piano infantil </t>
  </si>
  <si>
    <t xml:space="preserve">piano </t>
  </si>
  <si>
    <t>Espinoza Merma, Nelida</t>
  </si>
  <si>
    <t xml:space="preserve">Patricia de la Cruz Beltran </t>
  </si>
  <si>
    <t xml:space="preserve">Edward Rios de la Cruz </t>
  </si>
  <si>
    <t xml:space="preserve">Guitarra Junior </t>
  </si>
  <si>
    <t>Leandro</t>
  </si>
  <si>
    <t>Venta cuerdas Ernie Ball calibre 9</t>
  </si>
  <si>
    <t>Maria Isabel Cortez</t>
  </si>
  <si>
    <t>Venta funda de guitarra electrica ribeteada</t>
  </si>
  <si>
    <t>Edith Collque</t>
  </si>
  <si>
    <t xml:space="preserve">Edith Collque
</t>
  </si>
  <si>
    <t>mensualidad mayo (pendiente ( 164,00)</t>
  </si>
  <si>
    <t>Canto adulto</t>
  </si>
  <si>
    <t>Huamali Cortez, Carlos</t>
  </si>
  <si>
    <t>mensualidad mayo (BATERIA)</t>
  </si>
  <si>
    <t xml:space="preserve">Guitarra Juvenil +bateria Juvenil </t>
  </si>
  <si>
    <t>Conde, Sofía Valentina</t>
  </si>
  <si>
    <t>mensualidad mayo 197,00</t>
  </si>
  <si>
    <t xml:space="preserve">Canto Junior </t>
  </si>
  <si>
    <t>Conde Gomez, Yadira Shantal</t>
  </si>
  <si>
    <t xml:space="preserve">Andrea Alvarado Quintana </t>
  </si>
  <si>
    <t xml:space="preserve">Llallahui Alvarado, Kenny Armando
</t>
  </si>
  <si>
    <t>Galarreta, Gabriel Fabiano</t>
  </si>
  <si>
    <t xml:space="preserve">Bateria juvenil </t>
  </si>
  <si>
    <t>Robert Muñoz</t>
  </si>
  <si>
    <t>Clases particulares bateria (2)</t>
  </si>
  <si>
    <t xml:space="preserve">Yesenia Maria Magallanes Frisancho </t>
  </si>
  <si>
    <t>mensualidad mayo (debe 261,00)</t>
  </si>
  <si>
    <t>Canto adulto  y guitarra adulto</t>
  </si>
  <si>
    <t>Salazar Paucar, Gustavo</t>
  </si>
  <si>
    <t xml:space="preserve">Guitarra Juvenil </t>
  </si>
  <si>
    <t>Joan Paolo Rodriguez</t>
  </si>
  <si>
    <t>mensualidad mayo (debe 194,00)</t>
  </si>
  <si>
    <t>Nahomi Cabrera Gutierrez</t>
  </si>
  <si>
    <t>Luciano Leonardo Franco Cabrera</t>
  </si>
  <si>
    <t xml:space="preserve">Piano Infantil </t>
  </si>
  <si>
    <t>Jose</t>
  </si>
  <si>
    <t>Venta de cuerda 1 de guitarra</t>
  </si>
  <si>
    <t xml:space="preserve">Juan Silva </t>
  </si>
  <si>
    <t xml:space="preserve">Adelanto de pago de venta de funda de cajon				
</t>
  </si>
  <si>
    <t xml:space="preserve">Estela Nuñes, Max Benjamin
</t>
  </si>
  <si>
    <t>Alvan Souza, Luz Elena</t>
  </si>
  <si>
    <t>Juan Carlos</t>
  </si>
  <si>
    <t>Venta de Funda de Cajon</t>
  </si>
  <si>
    <t>Collque, Edith Collque</t>
  </si>
  <si>
    <t xml:space="preserve">guitarra Junior </t>
  </si>
  <si>
    <t xml:space="preserve">Lorena Gonzales Teves </t>
  </si>
  <si>
    <t xml:space="preserve">Emanuel </t>
  </si>
  <si>
    <t>mensualidad mayo (matricula)</t>
  </si>
  <si>
    <t>Eliazer Gonzales Silva</t>
  </si>
  <si>
    <t>audifonos+ cable</t>
  </si>
  <si>
    <t xml:space="preserve">Rafael Tocas </t>
  </si>
  <si>
    <t>YANZUE AMET DEL ROSARIO VASQUEZ</t>
  </si>
  <si>
    <t>mensualidad  y libros mayo</t>
  </si>
  <si>
    <t xml:space="preserve">Piano infantil </t>
  </si>
  <si>
    <t>Piero Figueroa</t>
  </si>
  <si>
    <t>juego cuerda Romeo  R106-H</t>
  </si>
  <si>
    <t>Grover de la Cruz</t>
  </si>
  <si>
    <t>cuerda 1 de ukulele</t>
  </si>
  <si>
    <t>Claudia</t>
  </si>
  <si>
    <t>Ukulele concierto( 3,54% add, por tarjeta ) ( p. real 299 )
Correa de colores ( 3,54% add por tarjeta ) (p- real 40 )</t>
  </si>
  <si>
    <t>Lorena Gonzales Teves</t>
  </si>
  <si>
    <t xml:space="preserve">Emmanuel Rospigliosi Gonzales </t>
  </si>
  <si>
    <t xml:space="preserve">Escuela </t>
  </si>
  <si>
    <t xml:space="preserve">Sonia Rojas Huamani </t>
  </si>
  <si>
    <t xml:space="preserve">Ariana Estrella </t>
  </si>
  <si>
    <t xml:space="preserve">canto juvenil </t>
  </si>
  <si>
    <t xml:space="preserve">Maria Mendoza </t>
  </si>
  <si>
    <t xml:space="preserve">Fabricio joaquin castro ormeño </t>
  </si>
  <si>
    <t>Libro + matricula (pendiente s/ 197,00 )</t>
  </si>
  <si>
    <t>Mensualidad de Mateo Malparatida</t>
  </si>
  <si>
    <t xml:space="preserve">Conislla Huerta, Iker Samín
</t>
  </si>
  <si>
    <t>Kevin Condori</t>
  </si>
  <si>
    <t xml:space="preserve">Venta de cuerda 1 de guitarra, electrica                                
</t>
  </si>
  <si>
    <t xml:space="preserve">Carlos Huamali </t>
  </si>
  <si>
    <t>adaptador 1/8 de metal dorado</t>
  </si>
  <si>
    <t xml:space="preserve">Erika Sulca </t>
  </si>
  <si>
    <t>Vergara Sulca, Mireya Ariana</t>
  </si>
  <si>
    <t xml:space="preserve">Alex Chimpi </t>
  </si>
  <si>
    <t>funda de guitarra electrica acolchada</t>
  </si>
  <si>
    <t>Jesus Quispe</t>
  </si>
  <si>
    <t>ukulele soprano MEnphis -uk21MM</t>
  </si>
  <si>
    <t>Leslie Lizen Ortiz Mariño</t>
  </si>
  <si>
    <t>Lizen Seraly Ipanaque Ortiz</t>
  </si>
  <si>
    <t>mensualidad mayo (Matricula 20 efect+10 yape)</t>
  </si>
  <si>
    <t xml:space="preserve">Marlita Meza Arevalo 
</t>
  </si>
  <si>
    <t xml:space="preserve">Jamil </t>
  </si>
  <si>
    <t>Thaimar</t>
  </si>
  <si>
    <t>Venta de Cuerda de Violin 3 y 4</t>
  </si>
  <si>
    <t>Maritza Guzman Ayvar</t>
  </si>
  <si>
    <t>Alexandra Maritza Rodríguez Guzmán</t>
  </si>
  <si>
    <t>Paola Karina Sanchez Arata</t>
  </si>
  <si>
    <t xml:space="preserve">Piano junior </t>
  </si>
  <si>
    <t>Bueno, Leyla</t>
  </si>
  <si>
    <t>Castillo Bueno, Mathew</t>
  </si>
  <si>
    <t>Sara Torres Leon</t>
  </si>
  <si>
    <t xml:space="preserve">Sara Torres Leon
</t>
  </si>
  <si>
    <t>mensualidad mayo ( Mensualidad s/ 197.00 + 30 matricula ( 227.00  yape) + 67 libro efectivo</t>
  </si>
  <si>
    <t>mensualidad mayo (Mensualidad s/ 197.00 +50 Libro )</t>
  </si>
  <si>
    <t xml:space="preserve">guitarra adulto </t>
  </si>
  <si>
    <t>juego cuerda ej27n daddario</t>
  </si>
  <si>
    <t>Sanchez Arata, Paola Karina</t>
  </si>
  <si>
    <t xml:space="preserve">Mensualidad de Clases de piano </t>
  </si>
  <si>
    <t>Guitarra Junior | Se añadio ( 1 de junio )</t>
  </si>
  <si>
    <t>Se añadio 1/6</t>
  </si>
  <si>
    <t xml:space="preserve">Completo mensualidad de mayo 67,00 </t>
  </si>
  <si>
    <t>Registro de Ventas - 06-2026</t>
  </si>
  <si>
    <t>Cristian Torres Campos</t>
  </si>
  <si>
    <t>Canto Juvenil</t>
  </si>
  <si>
    <t>Alexandra Rodriguez Guzmán</t>
  </si>
  <si>
    <t>Canto Junior</t>
  </si>
  <si>
    <t>Gonzales Cuba, Jose Angel</t>
  </si>
  <si>
    <t xml:space="preserve">mensualidad junio </t>
  </si>
  <si>
    <t>Yesenia Magallanes F.</t>
  </si>
  <si>
    <t>A cuenta de saldo de mensualidad</t>
  </si>
  <si>
    <t>Canto Adulto</t>
  </si>
  <si>
    <t>De la Cruz Beltran, Patricia</t>
  </si>
  <si>
    <t>Rios de la Cruz, Edward</t>
  </si>
  <si>
    <t>mensualidad junio ( completo lo pendiente )</t>
  </si>
  <si>
    <t xml:space="preserve">guitarra junior </t>
  </si>
  <si>
    <t xml:space="preserve">Yanette Gianina Villajuan Baltazar </t>
  </si>
  <si>
    <t xml:space="preserve">Kaled Radamel Loja Villajuan </t>
  </si>
  <si>
    <t xml:space="preserve">Guitarra Electria Juvenil </t>
  </si>
  <si>
    <t xml:space="preserve">Parte de la mensualidad de Junio </t>
  </si>
  <si>
    <t>Maria Mendoza (Familiar)</t>
  </si>
  <si>
    <t>Castro Ormeño, Fabricio Joaquin</t>
  </si>
  <si>
    <t xml:space="preserve">6 Clases particulares de guitarra (Pendiente mitad s/ 210,00 ) </t>
  </si>
  <si>
    <t>matraca mediana (remate)</t>
  </si>
  <si>
    <t>Leny Quispe</t>
  </si>
  <si>
    <t>Melodica de 2]/8 adams roja</t>
  </si>
  <si>
    <t xml:space="preserve">6 Clases particulares de guitarra (s/ 210,00 ) </t>
  </si>
  <si>
    <t xml:space="preserve">Leonardo Franco Zambrano </t>
  </si>
  <si>
    <t>Pianos California GM-630 mas parante</t>
  </si>
  <si>
    <t>Batería Junior</t>
  </si>
  <si>
    <t>Olga Sandra Huachuilca Flores</t>
  </si>
  <si>
    <t>Kiara Mariños Huachahuilca</t>
  </si>
  <si>
    <t>afinador electronico click</t>
  </si>
  <si>
    <t>Clase particular de piano</t>
  </si>
  <si>
    <t>Urquizo Gutierrez, Anahi</t>
  </si>
  <si>
    <t>Mensualidad retención</t>
  </si>
  <si>
    <t>Violín Juvenil</t>
  </si>
  <si>
    <t>Adelanto afinador ( pendiente 27 soles )</t>
  </si>
  <si>
    <t>Mendoza Quispe, Maria Luisa</t>
  </si>
  <si>
    <t>Farfan Mendoza, Marycielo Nicole</t>
  </si>
  <si>
    <t>Mensualidad ( 329 ) / Utiles ( 67 ) . Yape 390 + Efec 6</t>
  </si>
  <si>
    <t>Piano Juvenil</t>
  </si>
  <si>
    <t>Yolanda</t>
  </si>
  <si>
    <t>Cataleya</t>
  </si>
  <si>
    <t>Mensualidad, utiles , matrícula</t>
  </si>
  <si>
    <t>Miranda Aquino, Miguel Angel</t>
  </si>
  <si>
    <t>Retención de mensualidad</t>
  </si>
  <si>
    <t>Guitarra Juvenil</t>
  </si>
  <si>
    <t xml:space="preserve">Pago saldo de mensualidad
</t>
  </si>
  <si>
    <t>Jacks Tiwi</t>
  </si>
  <si>
    <t>Mensualidad ( 100 efect. | 100 yape ) pend. 97 (15na)</t>
  </si>
  <si>
    <t>Uriel | Junior | Eytan</t>
  </si>
  <si>
    <t>Mensualidad de clases, piano, guitarra, batería</t>
  </si>
  <si>
    <t>Abigail Zárate</t>
  </si>
  <si>
    <t>Piano Adulto</t>
  </si>
  <si>
    <t xml:space="preserve">Maria Gonzalez </t>
  </si>
  <si>
    <t>Compró ocho clases personalizadas</t>
  </si>
  <si>
    <t xml:space="preserve">Guitarra (Adulto) </t>
  </si>
  <si>
    <t>Nayely Santos</t>
  </si>
  <si>
    <t xml:space="preserve">Mensualidad restante </t>
  </si>
  <si>
    <t xml:space="preserve">Canto Adulto </t>
  </si>
  <si>
    <t>Lorena</t>
  </si>
  <si>
    <t>resina y hombrera de violin</t>
  </si>
  <si>
    <t>Jeniffer Mava Vazquez</t>
  </si>
  <si>
    <t>Leonardo Alvarez Moya</t>
  </si>
  <si>
    <t>Mensualidad ,matricula,utiles(97) pend,197</t>
  </si>
  <si>
    <t>Bateria</t>
  </si>
  <si>
    <t xml:space="preserve">Clase personalizada </t>
  </si>
  <si>
    <t>piano juvenil</t>
  </si>
  <si>
    <t>Martha  Aguilar</t>
  </si>
  <si>
    <t xml:space="preserve">Eithan David Florindez Alguilar </t>
  </si>
  <si>
    <t xml:space="preserve">Mensualidad, matrícula y útiles </t>
  </si>
  <si>
    <t>piano infantil</t>
  </si>
  <si>
    <t xml:space="preserve">Layla Mariapaula Florindez Alguilar </t>
  </si>
  <si>
    <t>Violin junior</t>
  </si>
  <si>
    <t xml:space="preserve">Jennifer Quintanilla </t>
  </si>
  <si>
    <t xml:space="preserve">Mensualidad, matrícula y útiles (saldo 194) </t>
  </si>
  <si>
    <t>Tomasa</t>
  </si>
  <si>
    <t xml:space="preserve">Compra de cuerdas de violin (40 en yape y 20 efectivo) </t>
  </si>
  <si>
    <t>---</t>
  </si>
  <si>
    <t xml:space="preserve">Juan Flores </t>
  </si>
  <si>
    <t>Juan Diego Flores</t>
  </si>
  <si>
    <t>Matricula (30) y útiles (67)  (Saldo 197)</t>
  </si>
  <si>
    <t xml:space="preserve">Guitarra </t>
  </si>
  <si>
    <t xml:space="preserve">Elizabeth Cuya </t>
  </si>
  <si>
    <t xml:space="preserve">Saul Solorzano Cuya </t>
  </si>
  <si>
    <t>Matricula y útiles (saldo 197)</t>
  </si>
  <si>
    <t xml:space="preserve">Dulce </t>
  </si>
  <si>
    <t>Dulce</t>
  </si>
  <si>
    <t>Matricula (saldo 197 + 67)</t>
  </si>
  <si>
    <t xml:space="preserve">Canto adulto </t>
  </si>
  <si>
    <t xml:space="preserve">Geraldine De La Cruz </t>
  </si>
  <si>
    <t xml:space="preserve">Luhana </t>
  </si>
  <si>
    <t xml:space="preserve">Cuerda N°2 de guitarra acustica metal </t>
  </si>
  <si>
    <t>guitarra</t>
  </si>
  <si>
    <t xml:space="preserve">Macedonia </t>
  </si>
  <si>
    <t xml:space="preserve">Mensulidad </t>
  </si>
  <si>
    <t xml:space="preserve">Canto </t>
  </si>
  <si>
    <t xml:space="preserve">Mensualidad </t>
  </si>
  <si>
    <t>libro de guitarra</t>
  </si>
  <si>
    <t>Set de cuerdas Ernieball + Cambio</t>
  </si>
  <si>
    <t>Guitarra</t>
  </si>
  <si>
    <t xml:space="preserve">Bateria </t>
  </si>
  <si>
    <t xml:space="preserve">Elizabeth Zuñiga Fernandez                      </t>
  </si>
  <si>
    <t xml:space="preserve">Celeste Elizabeth García Zuñiga </t>
  </si>
  <si>
    <t xml:space="preserve">Matricula, mensualdad y útiles    </t>
  </si>
  <si>
    <t>Nancy Salva</t>
  </si>
  <si>
    <t>capotraste california</t>
  </si>
  <si>
    <t xml:space="preserve">Judith Chaparro Gonzales </t>
  </si>
  <si>
    <t>Judith Chaparro Gonzales</t>
  </si>
  <si>
    <t>Matricula, mensualidad y utiles  (Saldo 197 + 67)</t>
  </si>
  <si>
    <t>Calibracion de guitarra electrica modelo flecaha negra</t>
  </si>
  <si>
    <t xml:space="preserve">Soledad ccanchi Chalco      </t>
  </si>
  <si>
    <t xml:space="preserve">Piano personalizado </t>
  </si>
  <si>
    <t>32.5</t>
  </si>
  <si>
    <t xml:space="preserve">Rolando Sanchez </t>
  </si>
  <si>
    <t xml:space="preserve">Sanchez Justa, Johandry Henry (saldo 140) </t>
  </si>
  <si>
    <t>Fidel Manuel Jaimes Meza</t>
  </si>
  <si>
    <t xml:space="preserve">Theo Valerio James Requena </t>
  </si>
  <si>
    <t xml:space="preserve">Matricula, útiles y mensualidad (saldo 297) </t>
  </si>
  <si>
    <t>Baterias Jr</t>
  </si>
  <si>
    <t xml:space="preserve">Lady Bendezú </t>
  </si>
  <si>
    <t xml:space="preserve">Matricula (30), útiles y mensualidad (saldo S/107) </t>
  </si>
  <si>
    <t xml:space="preserve">Janet Galarreta </t>
  </si>
  <si>
    <t>Franchesca Paz</t>
  </si>
  <si>
    <t>Alquiler de teclado yamaha , atril partitura y parante (saldo 50)</t>
  </si>
  <si>
    <t xml:space="preserve">Retención de Mensualidad </t>
  </si>
  <si>
    <t>868.2</t>
  </si>
  <si>
    <t>Junior Romero</t>
  </si>
  <si>
    <t xml:space="preserve">Ethan Romero Manrique </t>
  </si>
  <si>
    <t xml:space="preserve">Pagó mensualidad por tres meses + útiles + libros </t>
  </si>
  <si>
    <t xml:space="preserve">Piano y guitarra </t>
  </si>
  <si>
    <t>Saldo de Alquiler de Piano</t>
  </si>
  <si>
    <t>Luhanna</t>
  </si>
  <si>
    <t>Alquiler de Amplificador Marshall</t>
  </si>
  <si>
    <t>Andrea Alvarado</t>
  </si>
  <si>
    <t>Kenny Llallahui</t>
  </si>
  <si>
    <t>Guitarra Junior</t>
  </si>
  <si>
    <t>Jose Rivas</t>
  </si>
  <si>
    <t>Aitana Rivas</t>
  </si>
  <si>
    <t>Piano Junior</t>
  </si>
  <si>
    <t xml:space="preserve">Patricia Zae </t>
  </si>
  <si>
    <t xml:space="preserve">Yajaira Ayquipa </t>
  </si>
  <si>
    <t>Matrícula  y útiles (Saldo 297)</t>
  </si>
  <si>
    <t>Vilcapoma Coaguila, Enma</t>
  </si>
  <si>
    <t>Quispe Vilcapoma, Matias Gabriel</t>
  </si>
  <si>
    <t>Reny Quispe</t>
  </si>
  <si>
    <t>cuerda 5ta de electroca</t>
  </si>
  <si>
    <t xml:space="preserve">Edinson Omar Centeno Huayta </t>
  </si>
  <si>
    <t>Matrícula, útiles y mensualidad (Saldo 297)</t>
  </si>
  <si>
    <t xml:space="preserve">Guitarra Adulto </t>
  </si>
  <si>
    <t>Piano personalizado</t>
  </si>
  <si>
    <t>Juan Mazuelos</t>
  </si>
  <si>
    <t xml:space="preserve"> Calibracion y cambio de cuerdas (saldo 45)</t>
  </si>
  <si>
    <t>Gustavo Zúñiga Quispe</t>
  </si>
  <si>
    <t>Matricula, útiles y mensualidad (saldo 297)</t>
  </si>
  <si>
    <t xml:space="preserve">Juan Aylas </t>
  </si>
  <si>
    <t xml:space="preserve">Francezca Esther </t>
  </si>
  <si>
    <t>Matricula y útiles y mesualidad</t>
  </si>
  <si>
    <t xml:space="preserve">Franchesco Irribarren </t>
  </si>
  <si>
    <t xml:space="preserve">Depósito </t>
  </si>
  <si>
    <t>Nelida Espinoza</t>
  </si>
  <si>
    <t xml:space="preserve">Pineda Espinoza, Alonso   </t>
  </si>
  <si>
    <t>Peter Marcelo Romero</t>
  </si>
  <si>
    <t>Boris Marcelo Juan de Dios</t>
  </si>
  <si>
    <t>Matrícula, mensualidad y útiles(261+30+67)</t>
  </si>
  <si>
    <t>Piano</t>
  </si>
  <si>
    <t>Bruno Marcelo Juan de Dios</t>
  </si>
  <si>
    <t>Matrícula, mensualidad y útiles(261+0+67)</t>
  </si>
  <si>
    <t xml:space="preserve">Yenny Ramires </t>
  </si>
  <si>
    <t xml:space="preserve">Leonardo Villacorta </t>
  </si>
  <si>
    <t xml:space="preserve">Matricula, utiles y mensualidad (saldo 67+297) </t>
  </si>
  <si>
    <t>Kenny LLaLLahui</t>
  </si>
  <si>
    <t>pua Dunlop</t>
  </si>
  <si>
    <t xml:space="preserve">Milagros Huaman </t>
  </si>
  <si>
    <t xml:space="preserve">Antonella Osorio Huaman </t>
  </si>
  <si>
    <t>Matrícula, mensuaidad y útiles (67+297)</t>
  </si>
  <si>
    <t xml:space="preserve">Esperanza Ochoa Vera </t>
  </si>
  <si>
    <t xml:space="preserve">Luana Camila Zamora </t>
  </si>
  <si>
    <t xml:space="preserve">Matrícula, mensualidad y útiles (67+297) </t>
  </si>
  <si>
    <t>Clase libre de piano</t>
  </si>
  <si>
    <t xml:space="preserve">Yolanda Mitma </t>
  </si>
  <si>
    <t xml:space="preserve">Renzo y Angie </t>
  </si>
  <si>
    <t>Curi Qquecho, Renzo y Angie</t>
  </si>
  <si>
    <t>Lesly Huerta</t>
  </si>
  <si>
    <t xml:space="preserve">Iker Samin </t>
  </si>
  <si>
    <t>Tocas Vasquez, Adonis Yeret</t>
  </si>
  <si>
    <t xml:space="preserve">Marco Antonio Caro </t>
  </si>
  <si>
    <t>Matricula, útiles, mensualidad (saldo 297)</t>
  </si>
  <si>
    <t xml:space="preserve">Naomi </t>
  </si>
  <si>
    <t>Luciano Leonardo</t>
  </si>
  <si>
    <t>Nassir Alenjandria</t>
  </si>
  <si>
    <t>No Aplica</t>
  </si>
  <si>
    <t>Juego cuerdas de metal chinas para acustica</t>
  </si>
  <si>
    <t xml:space="preserve">Alexandra Rodriguez Guzman </t>
  </si>
  <si>
    <t>Registro de Ventas - 07-2026</t>
  </si>
  <si>
    <t xml:space="preserve">Liz Ramos </t>
  </si>
  <si>
    <t xml:space="preserve">Mateo Malpartida </t>
  </si>
  <si>
    <t xml:space="preserve">Carlos huamalí </t>
  </si>
  <si>
    <t xml:space="preserve">Mensualidad guitarra (falta bateria 197) </t>
  </si>
  <si>
    <t xml:space="preserve">Guitarra  </t>
  </si>
  <si>
    <t>Cuerda de guitarra  Daddario electrica calibre 010</t>
  </si>
  <si>
    <t>Ronald Masedo</t>
  </si>
  <si>
    <t>zampoña Malku 6X7 mas funda</t>
  </si>
  <si>
    <t xml:space="preserve">Diana Soto </t>
  </si>
  <si>
    <t xml:space="preserve">Ivanna y Luis Soto </t>
  </si>
  <si>
    <t xml:space="preserve">Antonella Osorio </t>
  </si>
  <si>
    <t xml:space="preserve">Mensualidad y útiles </t>
  </si>
  <si>
    <t xml:space="preserve">Piano  </t>
  </si>
  <si>
    <t xml:space="preserve">Jenny Ramirez </t>
  </si>
  <si>
    <t>Liliana Mandujano</t>
  </si>
  <si>
    <t xml:space="preserve">Liliana Mandujano </t>
  </si>
  <si>
    <t>Clase personalizada de canto</t>
  </si>
  <si>
    <t xml:space="preserve">Cuba Jose Angel </t>
  </si>
  <si>
    <t xml:space="preserve">Sara Torres </t>
  </si>
  <si>
    <t xml:space="preserve">Guitarra y canto </t>
  </si>
  <si>
    <t xml:space="preserve">Jessica Oroncoy </t>
  </si>
  <si>
    <t xml:space="preserve">Micaela Vilchez </t>
  </si>
  <si>
    <t xml:space="preserve">Mátricula, mensualidad y útiles (Saldo 67 + 294) </t>
  </si>
  <si>
    <t>Guitarra juvenil</t>
  </si>
  <si>
    <t xml:space="preserve">Paola Sanchez </t>
  </si>
  <si>
    <t xml:space="preserve">Liam Sanchez Sanches </t>
  </si>
  <si>
    <t xml:space="preserve">Karin Sahuarcura </t>
  </si>
  <si>
    <t xml:space="preserve">Carlos Carhuachin </t>
  </si>
  <si>
    <t xml:space="preserve">Mensualidad, matricula y útiles </t>
  </si>
  <si>
    <t xml:space="preserve">Violín </t>
  </si>
  <si>
    <t>Lucy Rivera</t>
  </si>
  <si>
    <t>Samantha</t>
  </si>
  <si>
    <t>Matrícula y Útiles</t>
  </si>
  <si>
    <t xml:space="preserve">Rafael </t>
  </si>
  <si>
    <t xml:space="preserve">Adonis </t>
  </si>
  <si>
    <t xml:space="preserve">Canto  </t>
  </si>
  <si>
    <t xml:space="preserve">Elizabeth Huerta </t>
  </si>
  <si>
    <t xml:space="preserve">Nyah Jimena </t>
  </si>
  <si>
    <t xml:space="preserve">Matrícula y Útiles (saldo 783) </t>
  </si>
  <si>
    <t>Piano Infantil</t>
  </si>
  <si>
    <t xml:space="preserve">Joan Paolo </t>
  </si>
  <si>
    <t>Clase personalizada ( pendiente 170 )</t>
  </si>
  <si>
    <t>reparacion de guitarra Falcon</t>
  </si>
  <si>
    <t>Adrian Tico</t>
  </si>
  <si>
    <t>juego cuerdas para guitarra acustica de metal</t>
  </si>
  <si>
    <t>Jazmin Gutierrez</t>
  </si>
  <si>
    <t xml:space="preserve">Catalina Salvador </t>
  </si>
  <si>
    <t xml:space="preserve">Mensualidad, matricula y útiles (saldo 297 + 67) </t>
  </si>
  <si>
    <t xml:space="preserve">Piano INFALTIL </t>
  </si>
  <si>
    <t xml:space="preserve">Violin junior </t>
  </si>
  <si>
    <t>Karol</t>
  </si>
  <si>
    <t>juego cuerdas Ernie Boll electrica + 1 de electric Alice</t>
  </si>
  <si>
    <t xml:space="preserve">Carolina Luna Tito </t>
  </si>
  <si>
    <t>Mensualidad, matricula y útiles</t>
  </si>
  <si>
    <t xml:space="preserve">Guitarra adulto </t>
  </si>
  <si>
    <t xml:space="preserve">Yuli de la Cruz </t>
  </si>
  <si>
    <t xml:space="preserve">Sasha </t>
  </si>
  <si>
    <t xml:space="preserve">Matricula, mensualidad y útiles (saldo 297 +67) </t>
  </si>
  <si>
    <t xml:space="preserve">Adela Aquino </t>
  </si>
  <si>
    <t xml:space="preserve">Miguel Angel </t>
  </si>
  <si>
    <t>Genoveva Llahui</t>
  </si>
  <si>
    <t xml:space="preserve">Mensualidad (saldo 383) </t>
  </si>
  <si>
    <t>Elias Mendoza</t>
  </si>
  <si>
    <t>Cuerdas ERnie Boll electrica calibre 10</t>
  </si>
  <si>
    <t xml:space="preserve">Soledad </t>
  </si>
  <si>
    <t>Clase personalizada</t>
  </si>
  <si>
    <t xml:space="preserve">Servs Generales (Felipe Concepcion) </t>
  </si>
  <si>
    <t xml:space="preserve">Flavia Nicole </t>
  </si>
  <si>
    <t xml:space="preserve">Parante de teclado </t>
  </si>
  <si>
    <t>Juana Tineo Bayona</t>
  </si>
  <si>
    <t>Fabiana Arroyo Tineo</t>
  </si>
  <si>
    <t>Matricula 30+ libro 67 (pendiente mensualidad 297,00)</t>
  </si>
  <si>
    <t xml:space="preserve">Curso Piano Junior </t>
  </si>
  <si>
    <t xml:space="preserve">Magaly Cruz Rojas </t>
  </si>
  <si>
    <t xml:space="preserve">Thaisa Lucero Dyarce Cruz </t>
  </si>
  <si>
    <t>matricula 30 soles (pendiente 364,00  mensualidad +libro)</t>
  </si>
  <si>
    <t xml:space="preserve">Bueno Leyla </t>
  </si>
  <si>
    <t xml:space="preserve">Mensualidad julio </t>
  </si>
  <si>
    <t xml:space="preserve">Mendoza Quispe, Maria Luisa
</t>
  </si>
  <si>
    <t xml:space="preserve">Farfan Mendoza, Marycielo Nicole
</t>
  </si>
  <si>
    <t>mensualidad de julio</t>
  </si>
  <si>
    <t xml:space="preserve">Piano juvenil </t>
  </si>
  <si>
    <t xml:space="preserve">Mensualidad completa Julio  </t>
  </si>
  <si>
    <t xml:space="preserve">Huerta Rincon, Elizabeth
</t>
  </si>
  <si>
    <t>Montalvo Huerta, Niah Jimena</t>
  </si>
  <si>
    <t>parte de mensualidad de julio 260,00 (pendiente 523)</t>
  </si>
  <si>
    <t xml:space="preserve">Parante de  guitarra </t>
  </si>
  <si>
    <t>cuerda 5ta de electric Alice</t>
  </si>
  <si>
    <t xml:space="preserve">Sofía Conde </t>
  </si>
  <si>
    <t xml:space="preserve">Joselyn Chipana Regalado </t>
  </si>
  <si>
    <t xml:space="preserve">Valerie Yidda </t>
  </si>
  <si>
    <t xml:space="preserve">Enzo Raul Ayala </t>
  </si>
  <si>
    <t xml:space="preserve">Johandry Sanchez </t>
  </si>
  <si>
    <t xml:space="preserve">Mensualidad (saldo 197) </t>
  </si>
  <si>
    <t xml:space="preserve">Batería </t>
  </si>
  <si>
    <t>Raul</t>
  </si>
  <si>
    <t>cuerda 1 de acustica daddario mas pua</t>
  </si>
  <si>
    <t xml:space="preserve">Sofía De la Cruz Vellaneda </t>
  </si>
  <si>
    <t xml:space="preserve">Mensualidad, matricula y utiles </t>
  </si>
  <si>
    <t xml:space="preserve">Personalizada </t>
  </si>
  <si>
    <t xml:space="preserve">canto </t>
  </si>
  <si>
    <t xml:space="preserve">Marlene Baquerizo </t>
  </si>
  <si>
    <t xml:space="preserve">Sebastian Chavez </t>
  </si>
  <si>
    <t xml:space="preserve">Personalizada (pendiente 70) </t>
  </si>
  <si>
    <t xml:space="preserve">Antonela Diaz Sanchez </t>
  </si>
  <si>
    <t xml:space="preserve">Matricula, utiles y mensualidad </t>
  </si>
  <si>
    <t xml:space="preserve">Patty </t>
  </si>
  <si>
    <t xml:space="preserve">Edward Rios </t>
  </si>
  <si>
    <t xml:space="preserve">Mensualidad promocional </t>
  </si>
  <si>
    <t xml:space="preserve">Guitarra juvenil </t>
  </si>
  <si>
    <t>Kenny LLallahui</t>
  </si>
  <si>
    <t xml:space="preserve">cuerda 1 de acustica daddario </t>
  </si>
  <si>
    <t>abuelita de alumno</t>
  </si>
  <si>
    <t>Parante para teclado Gibelly</t>
  </si>
  <si>
    <t xml:space="preserve">Martha Aguilar </t>
  </si>
  <si>
    <t>MAma de Alumna</t>
  </si>
  <si>
    <t>Violin Symphony 1/2 mas accesorios</t>
  </si>
  <si>
    <t xml:space="preserve">Cristian Jara </t>
  </si>
  <si>
    <t xml:space="preserve">Ethan Jara </t>
  </si>
  <si>
    <t xml:space="preserve">Rosio del Pilar Vivas </t>
  </si>
  <si>
    <t xml:space="preserve">Sara Ortiz </t>
  </si>
  <si>
    <t xml:space="preserve">Mensualidad, matricula y utiles (saldo 197) </t>
  </si>
  <si>
    <t xml:space="preserve">Abigail Zarate </t>
  </si>
  <si>
    <t>Genoveva Llallahui</t>
  </si>
  <si>
    <t xml:space="preserve">Mensualidad cancelacion de saldo 383 </t>
  </si>
  <si>
    <t xml:space="preserve">Mesualidad pagó 100 anteriormente hoy 100 (saldo 97) </t>
  </si>
  <si>
    <t>Mama de Alumno Gabriel</t>
  </si>
  <si>
    <t xml:space="preserve"> baquetas economicas Oslo Milan</t>
  </si>
  <si>
    <t>Alumno de  escuela</t>
  </si>
  <si>
    <t xml:space="preserve">Verónica </t>
  </si>
  <si>
    <t xml:space="preserve">Krizzia y Thiago </t>
  </si>
  <si>
    <t>Guitarra, Canto, Piano y batería</t>
  </si>
  <si>
    <t>Fredy farfan(992284699)</t>
  </si>
  <si>
    <t>Lucero Farfan alumna de Piano</t>
  </si>
  <si>
    <t>Capotraste con portapua  color madera California TC-05</t>
  </si>
  <si>
    <t>Baquetas de S/25 y Pad de S/85</t>
  </si>
  <si>
    <t xml:space="preserve">Jose Rivas </t>
  </si>
  <si>
    <t xml:space="preserve">Aithana Rivas </t>
  </si>
  <si>
    <t>Cobro de saldo de mensualidad</t>
  </si>
  <si>
    <t>guitarra Juvenil</t>
  </si>
  <si>
    <t>Guitarra Menphis Acustica morada cuerdas nylon</t>
  </si>
  <si>
    <t xml:space="preserve">Andrea Alvarado </t>
  </si>
  <si>
    <t xml:space="preserve">Kenny Armando </t>
  </si>
  <si>
    <t xml:space="preserve">Juana Tineo </t>
  </si>
  <si>
    <t>Clase de canto personalizada</t>
  </si>
  <si>
    <t xml:space="preserve">Nelson Dueñas </t>
  </si>
  <si>
    <t>Dael, Abdul y Hiroshi</t>
  </si>
  <si>
    <t xml:space="preserve">Matricula, utiles y mensualidad (saldo 252 cada uno + 67 útiles cada uno)  </t>
  </si>
  <si>
    <t>Pendiente</t>
  </si>
  <si>
    <t xml:space="preserve">Olivia Norma Conco </t>
  </si>
  <si>
    <t xml:space="preserve">Camila Valentina </t>
  </si>
  <si>
    <t xml:space="preserve">Matrícula, mensualidad y útiles (saldo 67) </t>
  </si>
  <si>
    <t xml:space="preserve">Violín Junior </t>
  </si>
  <si>
    <t xml:space="preserve">Emma </t>
  </si>
  <si>
    <t xml:space="preserve">Mathias Gabriel Quispe </t>
  </si>
  <si>
    <t xml:space="preserve">Gilmer Alvarez </t>
  </si>
  <si>
    <t xml:space="preserve">Alvarez Galarreta Fabiano </t>
  </si>
  <si>
    <t xml:space="preserve">Batería Junior </t>
  </si>
  <si>
    <t xml:space="preserve">Layla y Eithan Florindez Aguilar </t>
  </si>
  <si>
    <t>Piano infantil y Violín junior</t>
  </si>
  <si>
    <t xml:space="preserve">Ruth Urribarri </t>
  </si>
  <si>
    <t xml:space="preserve">Asaf Chipana </t>
  </si>
  <si>
    <t xml:space="preserve">Matrcicula, útiles y mensualidad (Saldo 67+297) </t>
  </si>
  <si>
    <t xml:space="preserve">Huerta Mitma Juan Diego </t>
  </si>
  <si>
    <t xml:space="preserve">Nick Paul </t>
  </si>
  <si>
    <t xml:space="preserve">Alexis Bringas Facho </t>
  </si>
  <si>
    <t xml:space="preserve">Canto junior </t>
  </si>
  <si>
    <t xml:space="preserve">Niah Montalvo </t>
  </si>
  <si>
    <t>Parte de la mensualidad trimestral  (Saldo 173)</t>
  </si>
  <si>
    <t xml:space="preserve">Margot Huamantupa </t>
  </si>
  <si>
    <t xml:space="preserve">Liam Huanca </t>
  </si>
  <si>
    <t xml:space="preserve">Matrícula, mensualidad y útiles (saldo 364) </t>
  </si>
  <si>
    <t xml:space="preserve">Henrry </t>
  </si>
  <si>
    <t xml:space="preserve">Cuerda de violín </t>
  </si>
  <si>
    <t xml:space="preserve">Sara Esther Perez Mancilla </t>
  </si>
  <si>
    <t xml:space="preserve">Emma Micaela Sevilla </t>
  </si>
  <si>
    <t xml:space="preserve">Matricula, utiles y mensualidad (saldo 297) </t>
  </si>
  <si>
    <t xml:space="preserve">Alex Malpartida </t>
  </si>
  <si>
    <t xml:space="preserve">Mirko André </t>
  </si>
  <si>
    <t>Matrícula (tomará clases personalizadas) ( saldo s/60)</t>
  </si>
  <si>
    <t xml:space="preserve">Violin </t>
  </si>
  <si>
    <t xml:space="preserve">Kely Sosa Torres </t>
  </si>
  <si>
    <t xml:space="preserve">Aarón Balarezo </t>
  </si>
  <si>
    <t xml:space="preserve">Matricula, utiles y mensualidad (saldo 67+ 297) </t>
  </si>
  <si>
    <t xml:space="preserve">Violín junior </t>
  </si>
  <si>
    <t>Elizabeth Zuñiga</t>
  </si>
  <si>
    <t xml:space="preserve">Celeste García Zuñiga </t>
  </si>
  <si>
    <t xml:space="preserve">Yuli de la Cruz Romero </t>
  </si>
  <si>
    <t xml:space="preserve">Sasha Contreras </t>
  </si>
  <si>
    <t>Mensualidad (saldo 97)</t>
  </si>
  <si>
    <t xml:space="preserve">Celeste Suarez </t>
  </si>
  <si>
    <t xml:space="preserve">Giussepe Granda </t>
  </si>
  <si>
    <t xml:space="preserve">Matricula, útiles y mensualidad  </t>
  </si>
  <si>
    <t xml:space="preserve">Bateria junior </t>
  </si>
  <si>
    <t xml:space="preserve">OIivia Norma Conco </t>
  </si>
  <si>
    <t xml:space="preserve">Pagó saldo del libro </t>
  </si>
  <si>
    <t>Clases de canto personalizada</t>
  </si>
  <si>
    <t>Canto personalizado</t>
  </si>
  <si>
    <t xml:space="preserve">Lesly Huerta </t>
  </si>
  <si>
    <t xml:space="preserve">Lorena Gonzales </t>
  </si>
  <si>
    <t xml:space="preserve">Emmanuel Rospligiosi </t>
  </si>
  <si>
    <t xml:space="preserve">Guitarra junior </t>
  </si>
  <si>
    <t xml:space="preserve">Sara Perez </t>
  </si>
  <si>
    <t xml:space="preserve">Pagó saldo de mensualidad </t>
  </si>
  <si>
    <t>Funda de guitarra Cort spara guitarra 3/4</t>
  </si>
  <si>
    <t>Saul Torres</t>
  </si>
  <si>
    <t xml:space="preserve"> juego de cuerdas ERnie boll calibre 10</t>
  </si>
  <si>
    <t xml:space="preserve">Peter Marcelo </t>
  </si>
  <si>
    <t xml:space="preserve">Boris y Axel Marcelo </t>
  </si>
  <si>
    <t xml:space="preserve">Guitarra y Piano juvenil </t>
  </si>
  <si>
    <t xml:space="preserve">Registro de ventas 08 - 2026 </t>
  </si>
  <si>
    <t xml:space="preserve">Luz Alvan </t>
  </si>
  <si>
    <t xml:space="preserve">Mia Bellido </t>
  </si>
  <si>
    <t xml:space="preserve">Mensualidas </t>
  </si>
  <si>
    <t xml:space="preserve">Marialuisa  Mendoza </t>
  </si>
  <si>
    <t>Maryfe Farfan Mendoza</t>
  </si>
  <si>
    <t xml:space="preserve">Mensualidad y utiles </t>
  </si>
  <si>
    <t>Marycielo y Maryfer Farfan Mendoza</t>
  </si>
  <si>
    <t>TECLADO CALIFORNIA GM - 630</t>
  </si>
  <si>
    <t xml:space="preserve">no aplica </t>
  </si>
  <si>
    <t xml:space="preserve">Magaly Oyarse </t>
  </si>
  <si>
    <t xml:space="preserve">Thaisa Alvan </t>
  </si>
  <si>
    <t xml:space="preserve">Saldo de mensualidad y útiles ( saldo 97) </t>
  </si>
  <si>
    <t xml:space="preserve">Laura Magdalena Vilchez </t>
  </si>
  <si>
    <t xml:space="preserve">Gael Mathias Lopez </t>
  </si>
  <si>
    <t xml:space="preserve">Matricula, mensualidad (saldo 297)  y útiles </t>
  </si>
  <si>
    <t xml:space="preserve">Pagó parte de su saldo (Saldo pentiente 149) </t>
  </si>
  <si>
    <t xml:space="preserve">Batería junior </t>
  </si>
  <si>
    <t xml:space="preserve">Teresa Aguilar </t>
  </si>
  <si>
    <t xml:space="preserve">Italo Aguilar </t>
  </si>
  <si>
    <t>Clases de piano libre</t>
  </si>
  <si>
    <t xml:space="preserve">Lizeth Trujillo </t>
  </si>
  <si>
    <t xml:space="preserve">Mateo Quispe </t>
  </si>
  <si>
    <t>Mensualidad, matrícula, utiles (saldo 364)</t>
  </si>
  <si>
    <t xml:space="preserve">Juan Pariona </t>
  </si>
  <si>
    <t xml:space="preserve">Juan Mateo Azael </t>
  </si>
  <si>
    <t xml:space="preserve">Mensualidad (se reintegra) </t>
  </si>
  <si>
    <t xml:space="preserve">Francesca Paz </t>
  </si>
  <si>
    <t>Francesco Irribarren</t>
  </si>
  <si>
    <t xml:space="preserve">Gloria Naupari </t>
  </si>
  <si>
    <t xml:space="preserve">Francezca Aylas Naupari </t>
  </si>
  <si>
    <t xml:space="preserve">Naomi Cabrera </t>
  </si>
  <si>
    <t xml:space="preserve">Luciano Franco Cabrera </t>
  </si>
  <si>
    <t xml:space="preserve">Maylin Facho </t>
  </si>
  <si>
    <t xml:space="preserve">Alexis Bringos Facho </t>
  </si>
  <si>
    <t xml:space="preserve">Clases de canto personalizado </t>
  </si>
  <si>
    <t xml:space="preserve">Gladys Diaz </t>
  </si>
  <si>
    <t xml:space="preserve">Mirko Malpartida </t>
  </si>
  <si>
    <t xml:space="preserve">Clases personalizadas de violin </t>
  </si>
  <si>
    <t>Violin Juvenil</t>
  </si>
  <si>
    <t>Piano Yamaha PCRE - 243 + parante (Saldo 410)</t>
  </si>
  <si>
    <t xml:space="preserve">No aplica </t>
  </si>
  <si>
    <t xml:space="preserve">Saldo de mensualidad </t>
  </si>
  <si>
    <t xml:space="preserve">Canto juveni </t>
  </si>
  <si>
    <t xml:space="preserve">Adonis Tocas </t>
  </si>
  <si>
    <t xml:space="preserve">Jose Luis </t>
  </si>
  <si>
    <t xml:space="preserve">Marco Antonio </t>
  </si>
  <si>
    <t xml:space="preserve">Mensualidad, utiles y matricula (Saldo 364) </t>
  </si>
  <si>
    <t xml:space="preserve">Freddy Farfan </t>
  </si>
  <si>
    <t>Marycielo Farfan Mendoza</t>
  </si>
  <si>
    <t xml:space="preserve">Karen Gutierrez </t>
  </si>
  <si>
    <t>Karen Gutierrez</t>
  </si>
  <si>
    <t xml:space="preserve">Lady Carolina Luna Tito </t>
  </si>
  <si>
    <t xml:space="preserve">Milagros </t>
  </si>
  <si>
    <t xml:space="preserve">Yrco Samaniego </t>
  </si>
  <si>
    <t>Piano junior/ Piano Infantil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</si>
</sst>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00"/>
    <numFmt numFmtId="166" formatCode="000"/>
    <numFmt numFmtId="167" formatCode="0.000"/>
    <numFmt numFmtId="168" formatCode="dd/mm/yyyy"/>
  </numFmts>
  <fonts count="38">
    <font>
      <sz val="11.0"/>
      <color theme="1"/>
      <name val="Aptos Narrow"/>
      <scheme val="minor"/>
    </font>
    <font>
      <b/>
      <sz val="12.0"/>
      <color rgb="FFFFFFFF"/>
      <name val="Arial"/>
    </font>
    <font/>
    <font>
      <b/>
      <sz val="12.0"/>
      <color theme="0"/>
      <name val="Aptos Narrow"/>
    </font>
    <font>
      <b/>
      <sz val="11.0"/>
      <color rgb="FFFFFFFF"/>
      <name val="Arial"/>
    </font>
    <font>
      <sz val="11.0"/>
      <color rgb="FFFF0000"/>
      <name val="Aptos Narrow"/>
    </font>
    <font>
      <sz val="11.0"/>
      <color rgb="FFFF0000"/>
      <name val="Arial"/>
    </font>
    <font>
      <b/>
      <sz val="11.0"/>
      <color theme="0"/>
      <name val="Arial"/>
    </font>
    <font>
      <sz val="11.0"/>
      <color theme="1"/>
      <name val="Arial"/>
    </font>
    <font>
      <color rgb="FFFF0000"/>
      <name val="Arial"/>
    </font>
    <font>
      <sz val="11.0"/>
      <color theme="1"/>
      <name val="Aptos Narrow"/>
    </font>
    <font>
      <b/>
      <sz val="11.0"/>
      <color rgb="FF000000"/>
      <name val="Arial"/>
    </font>
    <font>
      <b/>
      <sz val="11.0"/>
      <color rgb="FFFFFF00"/>
      <name val="Arial"/>
    </font>
    <font>
      <b/>
      <sz val="13.0"/>
      <color theme="1"/>
      <name val="Aptos Narrow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1A1B1F"/>
      <name val="Arial"/>
    </font>
    <font>
      <sz val="11.0"/>
      <color rgb="FF1A1B1F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0000FF"/>
      <name val="Arial"/>
    </font>
    <font>
      <color theme="1"/>
      <name val="Aptos Narrow"/>
      <scheme val="minor"/>
    </font>
    <font>
      <sz val="10.0"/>
      <color theme="1"/>
      <name val="Arial"/>
    </font>
    <font>
      <sz val="12.0"/>
      <color theme="1"/>
      <name val="Arial"/>
    </font>
    <font>
      <color rgb="FF000000"/>
      <name val="Calibri"/>
    </font>
    <font>
      <color theme="1"/>
      <name val="Arial"/>
    </font>
    <font>
      <sz val="12.0"/>
      <color rgb="FF1A1B1F"/>
      <name val="Arial"/>
    </font>
    <font>
      <sz val="12.0"/>
      <color rgb="FF1A1B1F"/>
      <name val="&quot;Inter Variable&quot;"/>
    </font>
    <font>
      <sz val="11.0"/>
      <color rgb="FF1A1B1F"/>
      <name val="&quot;Inter Variable&quot;"/>
    </font>
    <font>
      <u/>
      <color rgb="FF0000FF"/>
    </font>
    <font>
      <sz val="13.0"/>
      <color theme="1"/>
      <name val="Arial"/>
    </font>
    <font>
      <u/>
      <color rgb="FF467886"/>
      <name val="Arial"/>
    </font>
    <font>
      <u/>
      <color rgb="FF467886"/>
      <name val="Arial"/>
    </font>
    <font>
      <sz val="9.0"/>
      <color theme="1"/>
      <name val="Arial"/>
    </font>
    <font>
      <color rgb="FF1C2B33"/>
      <name val="Inherit"/>
    </font>
    <font>
      <sz val="11.0"/>
      <color rgb="FF1C1E21"/>
      <name val="Inherit"/>
    </font>
    <font>
      <sz val="12.0"/>
      <color theme="1"/>
      <name val="&quot;Inter Variable&quot;"/>
    </font>
  </fonts>
  <fills count="40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13B482"/>
        <bgColor rgb="FF13B482"/>
      </patternFill>
    </fill>
    <fill>
      <patternFill patternType="solid">
        <fgColor rgb="FF986C6C"/>
        <bgColor rgb="FF986C6C"/>
      </patternFill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</border>
    <border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readingOrder="0" vertical="center"/>
    </xf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9" fillId="3" fontId="6" numFmtId="164" xfId="0" applyAlignment="1" applyBorder="1" applyFill="1" applyFont="1" applyNumberFormat="1">
      <alignment horizontal="center" readingOrder="0"/>
    </xf>
    <xf borderId="9" fillId="0" fontId="6" numFmtId="165" xfId="0" applyAlignment="1" applyBorder="1" applyFont="1" applyNumberFormat="1">
      <alignment horizontal="center" readingOrder="0"/>
    </xf>
    <xf borderId="9" fillId="0" fontId="6" numFmtId="166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readingOrder="0"/>
    </xf>
    <xf borderId="0" fillId="2" fontId="7" numFmtId="0" xfId="0" applyAlignment="1" applyFont="1">
      <alignment horizontal="center" vertical="center"/>
    </xf>
    <xf borderId="9" fillId="0" fontId="5" numFmtId="0" xfId="0" applyBorder="1" applyFont="1"/>
    <xf borderId="9" fillId="0" fontId="5" numFmtId="4" xfId="0" applyBorder="1" applyFont="1" applyNumberFormat="1"/>
    <xf borderId="0" fillId="0" fontId="8" numFmtId="0" xfId="0" applyFont="1"/>
    <xf borderId="0" fillId="0" fontId="8" numFmtId="0" xfId="0" applyAlignment="1" applyFont="1">
      <alignment horizontal="center" readingOrder="0"/>
    </xf>
    <xf borderId="9" fillId="0" fontId="6" numFmtId="4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9" fillId="0" fontId="10" numFmtId="0" xfId="0" applyAlignment="1" applyBorder="1" applyFont="1">
      <alignment horizontal="center"/>
    </xf>
    <xf borderId="9" fillId="0" fontId="10" numFmtId="165" xfId="0" applyAlignment="1" applyBorder="1" applyFont="1" applyNumberFormat="1">
      <alignment horizontal="center"/>
    </xf>
    <xf borderId="0" fillId="2" fontId="4" numFmtId="0" xfId="0" applyAlignment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9" fillId="0" fontId="8" numFmtId="164" xfId="0" applyAlignment="1" applyBorder="1" applyFont="1" applyNumberFormat="1">
      <alignment horizontal="center" readingOrder="0"/>
    </xf>
    <xf borderId="4" fillId="2" fontId="7" numFmtId="0" xfId="0" applyAlignment="1" applyBorder="1" applyFont="1">
      <alignment horizontal="center" shrinkToFit="0" vertical="center" wrapText="1"/>
    </xf>
    <xf borderId="9" fillId="0" fontId="8" numFmtId="166" xfId="0" applyAlignment="1" applyBorder="1" applyFont="1" applyNumberFormat="1">
      <alignment horizontal="center" readingOrder="0"/>
    </xf>
    <xf borderId="9" fillId="0" fontId="8" numFmtId="0" xfId="0" applyAlignment="1" applyBorder="1" applyFont="1">
      <alignment horizontal="center" readingOrder="0"/>
    </xf>
    <xf borderId="5" fillId="2" fontId="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readingOrder="0"/>
    </xf>
    <xf borderId="9" fillId="0" fontId="10" numFmtId="0" xfId="0" applyBorder="1" applyFont="1"/>
    <xf borderId="9" fillId="0" fontId="10" numFmtId="4" xfId="0" applyBorder="1" applyFont="1" applyNumberFormat="1"/>
    <xf borderId="4" fillId="4" fontId="11" numFmtId="0" xfId="0" applyAlignment="1" applyBorder="1" applyFill="1" applyFont="1">
      <alignment horizontal="center" readingOrder="0" shrinkToFit="0" vertical="center" wrapText="1"/>
    </xf>
    <xf borderId="9" fillId="0" fontId="8" numFmtId="4" xfId="0" applyAlignment="1" applyBorder="1" applyFont="1" applyNumberFormat="1">
      <alignment readingOrder="0"/>
    </xf>
    <xf borderId="9" fillId="0" fontId="8" numFmtId="165" xfId="0" applyAlignment="1" applyBorder="1" applyFont="1" applyNumberFormat="1">
      <alignment horizontal="center" readingOrder="0"/>
    </xf>
    <xf borderId="9" fillId="0" fontId="10" numFmtId="166" xfId="0" applyAlignment="1" applyBorder="1" applyFont="1" applyNumberFormat="1">
      <alignment horizontal="center"/>
    </xf>
    <xf borderId="4" fillId="2" fontId="12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/>
    </xf>
    <xf borderId="10" fillId="0" fontId="10" numFmtId="0" xfId="0" applyBorder="1" applyFont="1"/>
    <xf borderId="10" fillId="0" fontId="10" numFmtId="4" xfId="0" applyBorder="1" applyFont="1" applyNumberFormat="1"/>
    <xf borderId="9" fillId="0" fontId="13" numFmtId="0" xfId="0" applyAlignment="1" applyBorder="1" applyFont="1">
      <alignment horizontal="center"/>
    </xf>
    <xf borderId="9" fillId="2" fontId="7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/>
    </xf>
    <xf borderId="8" fillId="0" fontId="13" numFmtId="0" xfId="0" applyBorder="1" applyFont="1"/>
    <xf borderId="8" fillId="0" fontId="13" numFmtId="4" xfId="0" applyBorder="1" applyFont="1" applyNumberFormat="1"/>
    <xf borderId="0" fillId="0" fontId="13" numFmtId="0" xfId="0" applyFont="1"/>
    <xf borderId="0" fillId="0" fontId="8" numFmtId="0" xfId="0" applyAlignment="1" applyFont="1">
      <alignment horizontal="center"/>
    </xf>
    <xf borderId="9" fillId="0" fontId="8" numFmtId="0" xfId="0" applyAlignment="1" applyBorder="1" applyFont="1">
      <alignment horizontal="center"/>
    </xf>
    <xf borderId="9" fillId="5" fontId="8" numFmtId="0" xfId="0" applyAlignment="1" applyBorder="1" applyFill="1" applyFont="1">
      <alignment readingOrder="0"/>
    </xf>
    <xf borderId="9" fillId="6" fontId="8" numFmtId="4" xfId="0" applyAlignment="1" applyBorder="1" applyFill="1" applyFont="1" applyNumberFormat="1">
      <alignment readingOrder="0"/>
    </xf>
    <xf borderId="9" fillId="7" fontId="8" numFmtId="4" xfId="0" applyAlignment="1" applyBorder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4" fontId="8" numFmtId="4" xfId="0" applyFont="1" applyNumberFormat="1"/>
    <xf borderId="0" fillId="0" fontId="8" numFmtId="0" xfId="0" applyAlignment="1" applyFont="1">
      <alignment readingOrder="0"/>
    </xf>
    <xf borderId="9" fillId="0" fontId="8" numFmtId="165" xfId="0" applyAlignment="1" applyBorder="1" applyFont="1" applyNumberFormat="1">
      <alignment horizontal="center"/>
    </xf>
    <xf borderId="9" fillId="0" fontId="8" numFmtId="166" xfId="0" applyAlignment="1" applyBorder="1" applyFont="1" applyNumberFormat="1">
      <alignment horizontal="center"/>
    </xf>
    <xf borderId="9" fillId="0" fontId="8" numFmtId="4" xfId="0" applyBorder="1" applyFont="1" applyNumberFormat="1"/>
    <xf borderId="9" fillId="7" fontId="8" numFmtId="4" xfId="0" applyBorder="1" applyFont="1" applyNumberFormat="1"/>
    <xf borderId="0" fillId="0" fontId="8" numFmtId="2" xfId="0" applyAlignment="1" applyFont="1" applyNumberFormat="1">
      <alignment readingOrder="0"/>
    </xf>
    <xf borderId="4" fillId="0" fontId="8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readingOrder="0"/>
    </xf>
    <xf borderId="4" fillId="0" fontId="8" numFmtId="4" xfId="0" applyBorder="1" applyFont="1" applyNumberFormat="1"/>
    <xf borderId="4" fillId="0" fontId="8" numFmtId="4" xfId="0" applyAlignment="1" applyBorder="1" applyFont="1" applyNumberFormat="1">
      <alignment readingOrder="0"/>
    </xf>
    <xf borderId="0" fillId="0" fontId="8" numFmtId="4" xfId="0" applyFont="1" applyNumberFormat="1"/>
    <xf borderId="9" fillId="0" fontId="14" numFmtId="0" xfId="0" applyAlignment="1" applyBorder="1" applyFont="1">
      <alignment readingOrder="0"/>
    </xf>
    <xf borderId="9" fillId="0" fontId="14" numFmtId="0" xfId="0" applyAlignment="1" applyBorder="1" applyFont="1">
      <alignment horizontal="left" readingOrder="0" shrinkToFit="0" vertical="bottom" wrapText="0"/>
    </xf>
    <xf borderId="9" fillId="0" fontId="14" numFmtId="4" xfId="0" applyAlignment="1" applyBorder="1" applyFont="1" applyNumberFormat="1">
      <alignment readingOrder="0"/>
    </xf>
    <xf borderId="0" fillId="0" fontId="14" numFmtId="4" xfId="0" applyAlignment="1" applyFont="1" applyNumberFormat="1">
      <alignment readingOrder="0"/>
    </xf>
    <xf borderId="9" fillId="0" fontId="8" numFmtId="0" xfId="0" applyBorder="1" applyFont="1"/>
    <xf borderId="0" fillId="0" fontId="15" numFmtId="0" xfId="0" applyAlignment="1" applyFont="1">
      <alignment horizontal="center"/>
    </xf>
    <xf borderId="9" fillId="0" fontId="15" numFmtId="0" xfId="0" applyAlignment="1" applyBorder="1" applyFont="1">
      <alignment horizontal="center"/>
    </xf>
    <xf borderId="9" fillId="0" fontId="15" numFmtId="0" xfId="0" applyBorder="1" applyFont="1"/>
    <xf borderId="9" fillId="0" fontId="15" numFmtId="4" xfId="0" applyBorder="1" applyFont="1" applyNumberFormat="1"/>
    <xf borderId="0" fillId="0" fontId="15" numFmtId="4" xfId="0" applyFont="1" applyNumberFormat="1"/>
    <xf borderId="0" fillId="0" fontId="15" numFmtId="0" xfId="0" applyFont="1"/>
    <xf borderId="0" fillId="0" fontId="8" numFmtId="0" xfId="0" applyFont="1"/>
    <xf borderId="0" fillId="0" fontId="8" numFmtId="0" xfId="0" applyAlignment="1" applyFont="1">
      <alignment horizontal="center"/>
    </xf>
    <xf borderId="0" fillId="2" fontId="7" numFmtId="0" xfId="0" applyAlignment="1" applyFont="1">
      <alignment horizontal="center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9" fillId="0" fontId="15" numFmtId="0" xfId="0" applyAlignment="1" applyBorder="1" applyFont="1">
      <alignment horizontal="center" readingOrder="0"/>
    </xf>
    <xf borderId="9" fillId="0" fontId="15" numFmtId="164" xfId="0" applyAlignment="1" applyBorder="1" applyFont="1" applyNumberFormat="1">
      <alignment horizontal="right" readingOrder="0"/>
    </xf>
    <xf borderId="9" fillId="0" fontId="15" numFmtId="0" xfId="0" applyAlignment="1" applyBorder="1" applyFont="1">
      <alignment readingOrder="0" vertical="bottom"/>
    </xf>
    <xf borderId="9" fillId="0" fontId="15" numFmtId="0" xfId="0" applyAlignment="1" applyBorder="1" applyFont="1">
      <alignment readingOrder="0"/>
    </xf>
    <xf borderId="9" fillId="6" fontId="15" numFmtId="4" xfId="0" applyAlignment="1" applyBorder="1" applyFont="1" applyNumberFormat="1">
      <alignment readingOrder="0"/>
    </xf>
    <xf borderId="9" fillId="0" fontId="15" numFmtId="4" xfId="0" applyAlignment="1" applyBorder="1" applyFont="1" applyNumberFormat="1">
      <alignment readingOrder="0"/>
    </xf>
    <xf borderId="0" fillId="0" fontId="15" numFmtId="4" xfId="0" applyAlignment="1" applyFont="1" applyNumberFormat="1">
      <alignment readingOrder="0"/>
    </xf>
    <xf borderId="0" fillId="0" fontId="15" numFmtId="0" xfId="0" applyFont="1"/>
    <xf borderId="9" fillId="0" fontId="15" numFmtId="0" xfId="0" applyAlignment="1" applyBorder="1" applyFont="1">
      <alignment vertical="bottom"/>
    </xf>
    <xf borderId="9" fillId="0" fontId="16" numFmtId="0" xfId="0" applyAlignment="1" applyBorder="1" applyFont="1">
      <alignment readingOrder="0" vertical="bottom"/>
    </xf>
    <xf borderId="9" fillId="3" fontId="15" numFmtId="4" xfId="0" applyAlignment="1" applyBorder="1" applyFont="1" applyNumberFormat="1">
      <alignment readingOrder="0" vertical="bottom"/>
    </xf>
    <xf borderId="9" fillId="0" fontId="15" numFmtId="4" xfId="0" applyAlignment="1" applyBorder="1" applyFont="1" applyNumberFormat="1">
      <alignment vertical="bottom"/>
    </xf>
    <xf borderId="9" fillId="0" fontId="15" numFmtId="4" xfId="0" applyAlignment="1" applyBorder="1" applyFont="1" applyNumberFormat="1">
      <alignment readingOrder="0" vertical="bottom"/>
    </xf>
    <xf borderId="0" fillId="0" fontId="15" numFmtId="4" xfId="0" applyAlignment="1" applyFont="1" applyNumberFormat="1">
      <alignment readingOrder="0" vertical="bottom"/>
    </xf>
    <xf borderId="0" fillId="0" fontId="15" numFmtId="0" xfId="0" applyAlignment="1" applyFont="1">
      <alignment vertical="bottom"/>
    </xf>
    <xf borderId="9" fillId="0" fontId="15" numFmtId="164" xfId="0" applyAlignment="1" applyBorder="1" applyFont="1" applyNumberFormat="1">
      <alignment readingOrder="0" vertical="bottom"/>
    </xf>
    <xf borderId="0" fillId="3" fontId="17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9" fillId="0" fontId="11" numFmtId="0" xfId="0" applyAlignment="1" applyBorder="1" applyFont="1">
      <alignment readingOrder="0" shrinkToFit="0" vertical="bottom" wrapText="0"/>
    </xf>
    <xf borderId="9" fillId="5" fontId="11" numFmtId="0" xfId="0" applyAlignment="1" applyBorder="1" applyFont="1">
      <alignment horizontal="left" readingOrder="0" shrinkToFit="0" vertical="top" wrapText="0"/>
    </xf>
    <xf borderId="9" fillId="0" fontId="11" numFmtId="0" xfId="0" applyAlignment="1" applyBorder="1" applyFont="1">
      <alignment horizontal="left" readingOrder="0" shrinkToFit="0" vertical="top" wrapText="0"/>
    </xf>
    <xf borderId="9" fillId="0" fontId="16" numFmtId="4" xfId="0" applyAlignment="1" applyBorder="1" applyFont="1" applyNumberFormat="1">
      <alignment readingOrder="0" vertical="bottom"/>
    </xf>
    <xf borderId="0" fillId="0" fontId="16" numFmtId="4" xfId="0" applyAlignment="1" applyFont="1" applyNumberFormat="1">
      <alignment readingOrder="0" vertical="bottom"/>
    </xf>
    <xf borderId="9" fillId="0" fontId="11" numFmtId="0" xfId="0" applyAlignment="1" applyBorder="1" applyFont="1">
      <alignment horizontal="left" readingOrder="0" shrinkToFit="0" vertical="bottom" wrapText="0"/>
    </xf>
    <xf borderId="9" fillId="0" fontId="11" numFmtId="164" xfId="0" applyAlignment="1" applyBorder="1" applyFont="1" applyNumberFormat="1">
      <alignment readingOrder="0" vertical="bottom"/>
    </xf>
    <xf borderId="9" fillId="0" fontId="11" numFmtId="0" xfId="0" applyAlignment="1" applyBorder="1" applyFont="1">
      <alignment vertical="bottom"/>
    </xf>
    <xf borderId="9" fillId="0" fontId="11" numFmtId="0" xfId="0" applyAlignment="1" applyBorder="1" applyFont="1">
      <alignment readingOrder="0" vertical="bottom"/>
    </xf>
    <xf borderId="9" fillId="3" fontId="11" numFmtId="4" xfId="0" applyAlignment="1" applyBorder="1" applyFont="1" applyNumberFormat="1">
      <alignment readingOrder="0" vertical="bottom"/>
    </xf>
    <xf borderId="9" fillId="0" fontId="11" numFmtId="4" xfId="0" applyAlignment="1" applyBorder="1" applyFont="1" applyNumberFormat="1">
      <alignment vertical="bottom"/>
    </xf>
    <xf borderId="9" fillId="0" fontId="11" numFmtId="4" xfId="0" applyAlignment="1" applyBorder="1" applyFont="1" applyNumberFormat="1">
      <alignment readingOrder="0" vertical="bottom"/>
    </xf>
    <xf borderId="0" fillId="0" fontId="11" numFmtId="4" xfId="0" applyAlignment="1" applyFont="1" applyNumberFormat="1">
      <alignment readingOrder="0" vertical="bottom"/>
    </xf>
    <xf borderId="0" fillId="0" fontId="11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9" fillId="0" fontId="8" numFmtId="0" xfId="0" applyAlignment="1" applyBorder="1" applyFont="1">
      <alignment readingOrder="0" vertical="bottom"/>
    </xf>
    <xf borderId="0" fillId="0" fontId="6" numFmtId="4" xfId="0" applyAlignment="1" applyFont="1" applyNumberFormat="1">
      <alignment readingOrder="0"/>
    </xf>
    <xf borderId="9" fillId="0" fontId="15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9" fillId="0" fontId="6" numFmtId="164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/>
    </xf>
    <xf borderId="9" fillId="6" fontId="6" numFmtId="4" xfId="0" applyAlignment="1" applyBorder="1" applyFont="1" applyNumberFormat="1">
      <alignment readingOrder="0"/>
    </xf>
    <xf borderId="9" fillId="0" fontId="6" numFmtId="4" xfId="0" applyBorder="1" applyFont="1" applyNumberFormat="1"/>
    <xf borderId="0" fillId="0" fontId="6" numFmtId="0" xfId="0" applyFont="1"/>
    <xf borderId="0" fillId="0" fontId="11" numFmtId="0" xfId="0" applyAlignment="1" applyFont="1">
      <alignment horizontal="center" readingOrder="0"/>
    </xf>
    <xf borderId="9" fillId="0" fontId="11" numFmtId="0" xfId="0" applyAlignment="1" applyBorder="1" applyFont="1">
      <alignment horizontal="center" readingOrder="0"/>
    </xf>
    <xf borderId="9" fillId="0" fontId="14" numFmtId="164" xfId="0" applyAlignment="1" applyBorder="1" applyFont="1" applyNumberFormat="1">
      <alignment horizontal="center" readingOrder="0"/>
    </xf>
    <xf borderId="9" fillId="0" fontId="11" numFmtId="0" xfId="0" applyAlignment="1" applyBorder="1" applyFont="1">
      <alignment readingOrder="0"/>
    </xf>
    <xf borderId="9" fillId="6" fontId="11" numFmtId="4" xfId="0" applyAlignment="1" applyBorder="1" applyFont="1" applyNumberFormat="1">
      <alignment readingOrder="0"/>
    </xf>
    <xf borderId="9" fillId="0" fontId="11" numFmtId="4" xfId="0" applyBorder="1" applyFont="1" applyNumberFormat="1"/>
    <xf borderId="9" fillId="0" fontId="11" numFmtId="4" xfId="0" applyAlignment="1" applyBorder="1" applyFont="1" applyNumberFormat="1">
      <alignment readingOrder="0"/>
    </xf>
    <xf borderId="0" fillId="0" fontId="11" numFmtId="4" xfId="0" applyAlignment="1" applyFont="1" applyNumberFormat="1">
      <alignment readingOrder="0"/>
    </xf>
    <xf borderId="0" fillId="0" fontId="14" numFmtId="4" xfId="0" applyFont="1" applyNumberFormat="1"/>
    <xf borderId="0" fillId="0" fontId="14" numFmtId="0" xfId="0" applyAlignment="1" applyFont="1">
      <alignment readingOrder="0"/>
    </xf>
    <xf borderId="0" fillId="0" fontId="14" numFmtId="0" xfId="0" applyFont="1"/>
    <xf borderId="0" fillId="0" fontId="8" numFmtId="2" xfId="0" applyFont="1" applyNumberFormat="1"/>
    <xf borderId="9" fillId="0" fontId="8" numFmtId="0" xfId="0" applyAlignment="1" applyBorder="1" applyFont="1">
      <alignment vertical="bottom"/>
    </xf>
    <xf borderId="9" fillId="0" fontId="8" numFmtId="0" xfId="0" applyBorder="1" applyFont="1"/>
    <xf borderId="9" fillId="4" fontId="8" numFmtId="0" xfId="0" applyAlignment="1" applyBorder="1" applyFont="1">
      <alignment readingOrder="0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6" fontId="8" numFmtId="4" xfId="0" applyAlignment="1" applyBorder="1" applyFont="1" applyNumberFormat="1">
      <alignment readingOrder="0"/>
    </xf>
    <xf borderId="4" fillId="0" fontId="15" numFmtId="4" xfId="0" applyBorder="1" applyFont="1" applyNumberFormat="1"/>
    <xf borderId="9" fillId="3" fontId="8" numFmtId="0" xfId="0" applyAlignment="1" applyBorder="1" applyFont="1">
      <alignment readingOrder="0"/>
    </xf>
    <xf borderId="9" fillId="4" fontId="8" numFmtId="0" xfId="0" applyAlignment="1" applyBorder="1" applyFont="1">
      <alignment horizontal="left" readingOrder="0"/>
    </xf>
    <xf borderId="9" fillId="4" fontId="8" numFmtId="4" xfId="0" applyAlignment="1" applyBorder="1" applyFont="1" applyNumberFormat="1">
      <alignment readingOrder="0"/>
    </xf>
    <xf borderId="9" fillId="3" fontId="18" numFmtId="0" xfId="0" applyAlignment="1" applyBorder="1" applyFon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/>
    </xf>
    <xf borderId="9" fillId="0" fontId="14" numFmtId="0" xfId="0" applyAlignment="1" applyBorder="1" applyFont="1">
      <alignment horizontal="right" readingOrder="0" shrinkToFit="0" vertical="bottom" wrapText="0"/>
    </xf>
    <xf borderId="9" fillId="0" fontId="14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top" wrapText="0"/>
    </xf>
    <xf borderId="9" fillId="0" fontId="8" numFmtId="164" xfId="0" applyAlignment="1" applyBorder="1" applyFont="1" applyNumberFormat="1">
      <alignment horizontal="center" vertical="bottom"/>
    </xf>
    <xf borderId="9" fillId="3" fontId="18" numFmtId="0" xfId="0" applyAlignment="1" applyBorder="1" applyFont="1">
      <alignment readingOrder="0" shrinkToFit="0" wrapText="0"/>
    </xf>
    <xf borderId="9" fillId="6" fontId="8" numFmtId="4" xfId="0" applyAlignment="1" applyBorder="1" applyFont="1" applyNumberFormat="1">
      <alignment horizontal="center" readingOrder="0"/>
    </xf>
    <xf borderId="9" fillId="0" fontId="8" numFmtId="0" xfId="0" applyAlignment="1" applyBorder="1" applyFont="1">
      <alignment vertical="bottom"/>
    </xf>
    <xf borderId="9" fillId="3" fontId="18" numFmtId="0" xfId="0" applyAlignment="1" applyBorder="1" applyFont="1">
      <alignment vertical="bottom"/>
    </xf>
    <xf borderId="9" fillId="3" fontId="1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vertical="bottom"/>
    </xf>
    <xf borderId="9" fillId="3" fontId="8" numFmtId="0" xfId="0" applyAlignment="1" applyBorder="1" applyFont="1">
      <alignment readingOrder="0" vertical="bottom"/>
    </xf>
    <xf borderId="9" fillId="0" fontId="8" numFmtId="164" xfId="0" applyAlignment="1" applyBorder="1" applyFont="1" applyNumberFormat="1">
      <alignment horizontal="center" readingOrder="0" vertical="bottom"/>
    </xf>
    <xf borderId="0" fillId="3" fontId="18" numFmtId="0" xfId="0" applyAlignment="1" applyFont="1">
      <alignment readingOrder="0"/>
    </xf>
    <xf borderId="0" fillId="0" fontId="19" numFmtId="0" xfId="0" applyAlignment="1" applyFont="1">
      <alignment horizontal="left" readingOrder="0" shrinkToFit="0" vertical="bottom" wrapText="0"/>
    </xf>
    <xf borderId="9" fillId="0" fontId="19" numFmtId="0" xfId="0" applyAlignment="1" applyBorder="1" applyFont="1">
      <alignment horizontal="right" readingOrder="0" shrinkToFit="0" vertical="bottom" wrapText="0"/>
    </xf>
    <xf borderId="9" fillId="0" fontId="18" numFmtId="0" xfId="0" applyAlignment="1" applyBorder="1" applyFont="1">
      <alignment readingOrder="0"/>
    </xf>
    <xf borderId="9" fillId="3" fontId="8" numFmtId="0" xfId="0" applyAlignment="1" applyBorder="1" applyFont="1">
      <alignment readingOrder="0" shrinkToFit="0" wrapText="0"/>
    </xf>
    <xf borderId="9" fillId="0" fontId="8" numFmtId="0" xfId="0" applyAlignment="1" applyBorder="1" applyFont="1">
      <alignment readingOrder="0" shrinkToFit="0" wrapText="0"/>
    </xf>
    <xf borderId="9" fillId="0" fontId="11" numFmtId="164" xfId="0" applyAlignment="1" applyBorder="1" applyFont="1" applyNumberFormat="1">
      <alignment horizontal="center" readingOrder="0" vertical="bottom"/>
    </xf>
    <xf borderId="9" fillId="0" fontId="11" numFmtId="0" xfId="0" applyBorder="1" applyFont="1"/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167" xfId="0" applyFont="1" applyNumberFormat="1"/>
    <xf borderId="0" fillId="0" fontId="14" numFmtId="0" xfId="0" applyAlignment="1" applyFont="1">
      <alignment horizontal="center" readingOrder="0"/>
    </xf>
    <xf borderId="9" fillId="0" fontId="14" numFmtId="0" xfId="0" applyAlignment="1" applyBorder="1" applyFont="1">
      <alignment horizontal="center" readingOrder="0"/>
    </xf>
    <xf borderId="9" fillId="0" fontId="14" numFmtId="164" xfId="0" applyAlignment="1" applyBorder="1" applyFont="1" applyNumberFormat="1">
      <alignment horizontal="center" readingOrder="0" vertical="bottom"/>
    </xf>
    <xf borderId="9" fillId="0" fontId="14" numFmtId="0" xfId="0" applyBorder="1" applyFont="1"/>
    <xf borderId="9" fillId="6" fontId="14" numFmtId="4" xfId="0" applyAlignment="1" applyBorder="1" applyFont="1" applyNumberFormat="1">
      <alignment readingOrder="0"/>
    </xf>
    <xf borderId="9" fillId="0" fontId="8" numFmtId="168" xfId="0" applyAlignment="1" applyBorder="1" applyFont="1" applyNumberFormat="1">
      <alignment readingOrder="0"/>
    </xf>
    <xf borderId="9" fillId="0" fontId="11" numFmtId="168" xfId="0" applyAlignment="1" applyBorder="1" applyFont="1" applyNumberFormat="1">
      <alignment readingOrder="0"/>
    </xf>
    <xf borderId="0" fillId="0" fontId="18" numFmtId="0" xfId="0" applyAlignment="1" applyFont="1">
      <alignment readingOrder="0" shrinkToFit="0" wrapText="0"/>
    </xf>
    <xf borderId="9" fillId="0" fontId="18" numFmtId="0" xfId="0" applyAlignment="1" applyBorder="1" applyFont="1">
      <alignment readingOrder="0" shrinkToFit="0" wrapText="0"/>
    </xf>
    <xf borderId="9" fillId="0" fontId="15" numFmtId="168" xfId="0" applyAlignment="1" applyBorder="1" applyFont="1" applyNumberFormat="1">
      <alignment readingOrder="0"/>
    </xf>
    <xf borderId="9" fillId="0" fontId="15" numFmtId="0" xfId="0" applyBorder="1" applyFont="1"/>
    <xf borderId="0" fillId="0" fontId="11" numFmtId="0" xfId="0" applyAlignment="1" applyFont="1">
      <alignment readingOrder="0" shrinkToFit="0" wrapText="0"/>
    </xf>
    <xf borderId="9" fillId="0" fontId="20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readingOrder="0" shrinkToFit="0" wrapText="0"/>
    </xf>
    <xf borderId="9" fillId="0" fontId="20" numFmtId="0" xfId="0" applyAlignment="1" applyBorder="1" applyFont="1">
      <alignment horizontal="left" readingOrder="0" shrinkToFit="0" vertical="bottom" wrapText="0"/>
    </xf>
    <xf borderId="9" fillId="0" fontId="20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readingOrder="0"/>
    </xf>
    <xf borderId="9" fillId="0" fontId="14" numFmtId="0" xfId="0" applyAlignment="1" applyBorder="1" applyFont="1">
      <alignment horizontal="left" readingOrder="0" shrinkToFit="0" vertical="top" wrapText="0"/>
    </xf>
    <xf borderId="0" fillId="0" fontId="21" numFmtId="0" xfId="0" applyAlignment="1" applyFont="1">
      <alignment horizontal="center" readingOrder="0"/>
    </xf>
    <xf borderId="9" fillId="0" fontId="21" numFmtId="0" xfId="0" applyAlignment="1" applyBorder="1" applyFont="1">
      <alignment horizontal="center" readingOrder="0"/>
    </xf>
    <xf borderId="9" fillId="0" fontId="21" numFmtId="168" xfId="0" applyAlignment="1" applyBorder="1" applyFont="1" applyNumberFormat="1">
      <alignment readingOrder="0"/>
    </xf>
    <xf borderId="9" fillId="0" fontId="21" numFmtId="0" xfId="0" applyBorder="1" applyFont="1"/>
    <xf borderId="9" fillId="0" fontId="21" numFmtId="0" xfId="0" applyAlignment="1" applyBorder="1" applyFont="1">
      <alignment readingOrder="0"/>
    </xf>
    <xf borderId="9" fillId="3" fontId="21" numFmtId="0" xfId="0" applyAlignment="1" applyBorder="1" applyFont="1">
      <alignment readingOrder="0" shrinkToFit="0" wrapText="0"/>
    </xf>
    <xf borderId="9" fillId="6" fontId="21" numFmtId="4" xfId="0" applyAlignment="1" applyBorder="1" applyFont="1" applyNumberFormat="1">
      <alignment readingOrder="0"/>
    </xf>
    <xf borderId="9" fillId="0" fontId="21" numFmtId="4" xfId="0" applyAlignment="1" applyBorder="1" applyFont="1" applyNumberForma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21" numFmtId="2" xfId="0" applyFont="1" applyNumberFormat="1"/>
    <xf borderId="9" fillId="0" fontId="8" numFmtId="0" xfId="0" applyAlignment="1" applyBorder="1" applyFont="1">
      <alignment horizontal="right" readingOrder="0"/>
    </xf>
    <xf borderId="9" fillId="3" fontId="18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11" numFmtId="2" xfId="0" applyFont="1" applyNumberFormat="1"/>
    <xf borderId="0" fillId="0" fontId="1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3" fontId="18" numFmtId="0" xfId="0" applyAlignment="1" applyFont="1">
      <alignment readingOrder="0" vertical="bottom"/>
    </xf>
    <xf borderId="5" fillId="0" fontId="8" numFmtId="0" xfId="0" applyAlignment="1" applyBorder="1" applyFont="1">
      <alignment readingOrder="0"/>
    </xf>
    <xf borderId="5" fillId="0" fontId="14" numFmtId="0" xfId="0" applyAlignment="1" applyBorder="1" applyFont="1">
      <alignment horizontal="left" readingOrder="0" shrinkToFit="0" vertical="bottom" wrapText="0"/>
    </xf>
    <xf borderId="0" fillId="0" fontId="8" numFmtId="1" xfId="0" applyFont="1" applyNumberFormat="1"/>
    <xf borderId="0" fillId="0" fontId="22" numFmtId="0" xfId="0" applyAlignment="1" applyFont="1">
      <alignment readingOrder="0"/>
    </xf>
    <xf borderId="9" fillId="0" fontId="23" numFmtId="0" xfId="0" applyAlignment="1" applyBorder="1" applyFont="1">
      <alignment readingOrder="0"/>
    </xf>
    <xf borderId="9" fillId="8" fontId="8" numFmtId="168" xfId="0" applyAlignment="1" applyBorder="1" applyFill="1" applyFont="1" applyNumberFormat="1">
      <alignment readingOrder="0"/>
    </xf>
    <xf borderId="0" fillId="3" fontId="18" numFmtId="0" xfId="0" applyAlignment="1" applyFont="1">
      <alignment readingOrder="0" shrinkToFit="0" wrapText="0"/>
    </xf>
    <xf borderId="9" fillId="0" fontId="24" numFmtId="0" xfId="0" applyAlignment="1" applyBorder="1" applyFont="1">
      <alignment readingOrder="0" shrinkToFit="0" wrapText="0"/>
    </xf>
    <xf borderId="9" fillId="4" fontId="8" numFmtId="168" xfId="0" applyAlignment="1" applyBorder="1" applyFont="1" applyNumberFormat="1">
      <alignment readingOrder="0"/>
    </xf>
    <xf borderId="9" fillId="0" fontId="25" numFmtId="0" xfId="0" applyAlignment="1" applyBorder="1" applyFont="1">
      <alignment horizontal="left" readingOrder="0" shrinkToFit="0" vertical="bottom" wrapText="0"/>
    </xf>
    <xf borderId="9" fillId="9" fontId="8" numFmtId="168" xfId="0" applyAlignment="1" applyBorder="1" applyFill="1" applyFont="1" applyNumberFormat="1">
      <alignment readingOrder="0"/>
    </xf>
    <xf borderId="0" fillId="0" fontId="26" numFmtId="0" xfId="0" applyAlignment="1" applyFont="1">
      <alignment readingOrder="0"/>
    </xf>
    <xf borderId="9" fillId="0" fontId="25" numFmtId="0" xfId="0" applyAlignment="1" applyBorder="1" applyFont="1">
      <alignment readingOrder="0" shrinkToFit="0" vertical="top" wrapText="0"/>
    </xf>
    <xf borderId="9" fillId="10" fontId="8" numFmtId="168" xfId="0" applyAlignment="1" applyBorder="1" applyFill="1" applyFont="1" applyNumberFormat="1">
      <alignment readingOrder="0"/>
    </xf>
    <xf borderId="9" fillId="11" fontId="8" numFmtId="168" xfId="0" applyAlignment="1" applyBorder="1" applyFill="1" applyFont="1" applyNumberFormat="1">
      <alignment readingOrder="0"/>
    </xf>
    <xf borderId="9" fillId="12" fontId="8" numFmtId="168" xfId="0" applyAlignment="1" applyBorder="1" applyFill="1" applyFont="1" applyNumberFormat="1">
      <alignment readingOrder="0"/>
    </xf>
    <xf borderId="9" fillId="0" fontId="24" numFmtId="0" xfId="0" applyAlignment="1" applyBorder="1" applyFont="1">
      <alignment readingOrder="0"/>
    </xf>
    <xf borderId="9" fillId="0" fontId="27" numFmtId="0" xfId="0" applyAlignment="1" applyBorder="1" applyFont="1">
      <alignment readingOrder="0"/>
    </xf>
    <xf borderId="9" fillId="13" fontId="8" numFmtId="168" xfId="0" applyAlignment="1" applyBorder="1" applyFill="1" applyFont="1" applyNumberFormat="1">
      <alignment readingOrder="0"/>
    </xf>
    <xf borderId="9" fillId="14" fontId="8" numFmtId="168" xfId="0" applyAlignment="1" applyBorder="1" applyFill="1" applyFont="1" applyNumberFormat="1">
      <alignment readingOrder="0"/>
    </xf>
    <xf borderId="9" fillId="15" fontId="8" numFmtId="168" xfId="0" applyAlignment="1" applyBorder="1" applyFill="1" applyFont="1" applyNumberFormat="1">
      <alignment readingOrder="0"/>
    </xf>
    <xf borderId="9" fillId="9" fontId="8" numFmtId="168" xfId="0" applyAlignment="1" applyBorder="1" applyFont="1" applyNumberFormat="1">
      <alignment horizontal="right" vertical="bottom"/>
    </xf>
    <xf borderId="9" fillId="3" fontId="28" numFmtId="0" xfId="0" applyAlignment="1" applyBorder="1" applyFont="1">
      <alignment readingOrder="0" shrinkToFit="0" wrapText="0"/>
    </xf>
    <xf borderId="9" fillId="10" fontId="8" numFmtId="168" xfId="0" applyAlignment="1" applyBorder="1" applyFont="1" applyNumberFormat="1">
      <alignment horizontal="right" readingOrder="0" vertical="bottom"/>
    </xf>
    <xf borderId="9" fillId="8" fontId="8" numFmtId="168" xfId="0" applyAlignment="1" applyBorder="1" applyFont="1" applyNumberFormat="1">
      <alignment horizontal="right" readingOrder="0" vertical="bottom"/>
    </xf>
    <xf borderId="9" fillId="3" fontId="27" numFmtId="0" xfId="0" applyAlignment="1" applyBorder="1" applyFont="1">
      <alignment readingOrder="0" shrinkToFit="0" wrapText="0"/>
    </xf>
    <xf borderId="9" fillId="0" fontId="29" numFmtId="0" xfId="0" applyAlignment="1" applyBorder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shrinkToFit="0" wrapText="0"/>
    </xf>
    <xf borderId="9" fillId="4" fontId="8" numFmtId="168" xfId="0" applyAlignment="1" applyBorder="1" applyFont="1" applyNumberFormat="1">
      <alignment horizontal="right" readingOrder="0" vertical="bottom"/>
    </xf>
    <xf borderId="0" fillId="0" fontId="24" numFmtId="0" xfId="0" applyAlignment="1" applyFont="1">
      <alignment readingOrder="0" shrinkToFit="0" wrapText="0"/>
    </xf>
    <xf borderId="9" fillId="9" fontId="8" numFmtId="168" xfId="0" applyAlignment="1" applyBorder="1" applyFont="1" applyNumberFormat="1">
      <alignment horizontal="right" readingOrder="0" vertical="bottom"/>
    </xf>
    <xf borderId="9" fillId="0" fontId="32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9" fillId="14" fontId="8" numFmtId="168" xfId="0" applyAlignment="1" applyBorder="1" applyFont="1" applyNumberFormat="1">
      <alignment horizontal="right" readingOrder="0" vertical="bottom"/>
    </xf>
    <xf borderId="9" fillId="16" fontId="8" numFmtId="168" xfId="0" applyAlignment="1" applyBorder="1" applyFill="1" applyFont="1" applyNumberFormat="1">
      <alignment horizontal="right" readingOrder="0" vertical="bottom"/>
    </xf>
    <xf borderId="0" fillId="3" fontId="28" numFmtId="0" xfId="0" applyAlignment="1" applyFont="1">
      <alignment readingOrder="0"/>
    </xf>
    <xf borderId="9" fillId="17" fontId="8" numFmtId="168" xfId="0" applyAlignment="1" applyBorder="1" applyFill="1" applyFont="1" applyNumberFormat="1">
      <alignment horizontal="right" readingOrder="0" vertical="bottom"/>
    </xf>
    <xf borderId="9" fillId="3" fontId="28" numFmtId="0" xfId="0" applyAlignment="1" applyBorder="1" applyFont="1">
      <alignment readingOrder="0"/>
    </xf>
    <xf borderId="9" fillId="3" fontId="27" numFmtId="0" xfId="0" applyAlignment="1" applyBorder="1" applyFont="1">
      <alignment readingOrder="0"/>
    </xf>
    <xf borderId="9" fillId="0" fontId="26" numFmtId="0" xfId="0" applyAlignment="1" applyBorder="1" applyFont="1">
      <alignment readingOrder="0"/>
    </xf>
    <xf borderId="0" fillId="2" fontId="4" numFmtId="0" xfId="0" applyAlignment="1" applyFont="1">
      <alignment horizontal="left" readingOrder="0" vertical="center"/>
    </xf>
    <xf borderId="1" fillId="2" fontId="4" numFmtId="0" xfId="0" applyAlignment="1" applyBorder="1" applyFont="1">
      <alignment horizontal="left" readingOrder="0" vertical="center"/>
    </xf>
    <xf borderId="2" fillId="2" fontId="4" numFmtId="0" xfId="0" applyAlignment="1" applyBorder="1" applyFont="1">
      <alignment horizontal="left" readingOrder="0" vertical="center"/>
    </xf>
    <xf borderId="3" fillId="2" fontId="4" numFmtId="0" xfId="0" applyAlignment="1" applyBorder="1" applyFont="1">
      <alignment horizontal="left" readingOrder="0" vertical="center"/>
    </xf>
    <xf borderId="9" fillId="0" fontId="34" numFmtId="0" xfId="0" applyAlignment="1" applyBorder="1" applyFont="1">
      <alignment readingOrder="0"/>
    </xf>
    <xf borderId="9" fillId="11" fontId="8" numFmtId="0" xfId="0" applyAlignment="1" applyBorder="1" applyFont="1">
      <alignment readingOrder="0"/>
    </xf>
    <xf borderId="9" fillId="18" fontId="8" numFmtId="168" xfId="0" applyAlignment="1" applyBorder="1" applyFill="1" applyFont="1" applyNumberFormat="1">
      <alignment readingOrder="0"/>
    </xf>
    <xf borderId="9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vertical="center"/>
    </xf>
    <xf borderId="9" fillId="0" fontId="8" numFmtId="4" xfId="0" applyAlignment="1" applyBorder="1" applyFont="1" applyNumberFormat="1">
      <alignment horizontal="left" readingOrder="0" vertical="center"/>
    </xf>
    <xf borderId="9" fillId="0" fontId="8" numFmtId="4" xfId="0" applyAlignment="1" applyBorder="1" applyFont="1" applyNumberFormat="1">
      <alignment horizontal="center" readingOrder="0" vertical="center"/>
    </xf>
    <xf borderId="9" fillId="3" fontId="29" numFmtId="0" xfId="0" applyAlignment="1" applyBorder="1" applyFont="1">
      <alignment readingOrder="0" shrinkToFit="0" wrapText="0"/>
    </xf>
    <xf borderId="0" fillId="3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9" fillId="0" fontId="8" numFmtId="3" xfId="0" applyAlignment="1" applyBorder="1" applyFont="1" applyNumberFormat="1">
      <alignment horizontal="right" readingOrder="0"/>
    </xf>
    <xf borderId="0" fillId="0" fontId="28" numFmtId="0" xfId="0" applyAlignment="1" applyFont="1">
      <alignment readingOrder="0"/>
    </xf>
    <xf borderId="9" fillId="0" fontId="27" numFmtId="0" xfId="0" applyAlignment="1" applyBorder="1" applyFont="1">
      <alignment readingOrder="0" shrinkToFit="0" wrapText="0"/>
    </xf>
    <xf borderId="9" fillId="19" fontId="8" numFmtId="168" xfId="0" applyAlignment="1" applyBorder="1" applyFill="1" applyFont="1" applyNumberFormat="1">
      <alignment readingOrder="0"/>
    </xf>
    <xf borderId="9" fillId="0" fontId="8" numFmtId="3" xfId="0" applyAlignment="1" applyBorder="1" applyFont="1" applyNumberFormat="1">
      <alignment readingOrder="0"/>
    </xf>
    <xf borderId="9" fillId="0" fontId="35" numFmtId="0" xfId="0" applyAlignment="1" applyBorder="1" applyFont="1">
      <alignment readingOrder="0" shrinkToFit="0" wrapText="1"/>
    </xf>
    <xf borderId="9" fillId="16" fontId="8" numFmtId="168" xfId="0" applyAlignment="1" applyBorder="1" applyFont="1" applyNumberFormat="1">
      <alignment readingOrder="0"/>
    </xf>
    <xf borderId="0" fillId="0" fontId="36" numFmtId="0" xfId="0" applyAlignment="1" applyFont="1">
      <alignment readingOrder="0" shrinkToFit="0" wrapText="1"/>
    </xf>
    <xf borderId="9" fillId="0" fontId="36" numFmtId="0" xfId="0" applyAlignment="1" applyBorder="1" applyFont="1">
      <alignment readingOrder="0" shrinkToFit="0" wrapText="1"/>
    </xf>
    <xf borderId="9" fillId="0" fontId="29" numFmtId="0" xfId="0" applyAlignment="1" applyBorder="1" applyFont="1">
      <alignment readingOrder="0" shrinkToFit="0" wrapText="0"/>
    </xf>
    <xf borderId="9" fillId="20" fontId="8" numFmtId="168" xfId="0" applyAlignment="1" applyBorder="1" applyFill="1" applyFont="1" applyNumberFormat="1">
      <alignment readingOrder="0"/>
    </xf>
    <xf borderId="0" fillId="0" fontId="37" numFmtId="0" xfId="0" applyAlignment="1" applyFont="1">
      <alignment readingOrder="0" shrinkToFit="0" wrapText="0"/>
    </xf>
    <xf borderId="9" fillId="0" fontId="28" numFmtId="0" xfId="0" applyAlignment="1" applyBorder="1" applyFont="1">
      <alignment readingOrder="0" shrinkToFit="0" wrapText="0"/>
    </xf>
    <xf borderId="9" fillId="21" fontId="8" numFmtId="168" xfId="0" applyAlignment="1" applyBorder="1" applyFill="1" applyFont="1" applyNumberFormat="1">
      <alignment readingOrder="0"/>
    </xf>
    <xf borderId="9" fillId="0" fontId="28" numFmtId="0" xfId="0" applyAlignment="1" applyBorder="1" applyFont="1">
      <alignment readingOrder="0"/>
    </xf>
    <xf borderId="9" fillId="22" fontId="8" numFmtId="168" xfId="0" applyAlignment="1" applyBorder="1" applyFill="1" applyFont="1" applyNumberFormat="1">
      <alignment readingOrder="0"/>
    </xf>
    <xf borderId="9" fillId="23" fontId="8" numFmtId="168" xfId="0" applyAlignment="1" applyBorder="1" applyFill="1" applyFont="1" applyNumberFormat="1">
      <alignment horizontal="right" readingOrder="0" vertical="bottom"/>
    </xf>
    <xf borderId="9" fillId="3" fontId="8" numFmtId="168" xfId="0" applyAlignment="1" applyBorder="1" applyFont="1" applyNumberFormat="1">
      <alignment readingOrder="0"/>
    </xf>
    <xf borderId="9" fillId="0" fontId="8" numFmtId="0" xfId="0" applyAlignment="1" applyBorder="1" applyFont="1">
      <alignment horizontal="center"/>
    </xf>
    <xf borderId="9" fillId="0" fontId="37" numFmtId="0" xfId="0" applyAlignment="1" applyBorder="1" applyFont="1">
      <alignment readingOrder="0" shrinkToFit="0" wrapText="0"/>
    </xf>
    <xf borderId="9" fillId="19" fontId="8" numFmtId="168" xfId="0" applyAlignment="1" applyBorder="1" applyFont="1" applyNumberFormat="1">
      <alignment horizontal="right" readingOrder="0" vertical="bottom"/>
    </xf>
    <xf borderId="9" fillId="11" fontId="8" numFmtId="168" xfId="0" applyAlignment="1" applyBorder="1" applyFont="1" applyNumberFormat="1">
      <alignment horizontal="right" readingOrder="0" vertical="bottom"/>
    </xf>
    <xf borderId="9" fillId="24" fontId="8" numFmtId="168" xfId="0" applyAlignment="1" applyBorder="1" applyFill="1" applyFont="1" applyNumberFormat="1">
      <alignment horizontal="right" readingOrder="0" vertical="bottom"/>
    </xf>
    <xf borderId="9" fillId="25" fontId="8" numFmtId="168" xfId="0" applyAlignment="1" applyBorder="1" applyFill="1" applyFont="1" applyNumberFormat="1">
      <alignment horizontal="right" readingOrder="0" vertical="bottom"/>
    </xf>
    <xf borderId="9" fillId="26" fontId="8" numFmtId="168" xfId="0" applyAlignment="1" applyBorder="1" applyFill="1" applyFont="1" applyNumberFormat="1">
      <alignment readingOrder="0"/>
    </xf>
    <xf borderId="9" fillId="27" fontId="8" numFmtId="168" xfId="0" applyAlignment="1" applyBorder="1" applyFill="1" applyFont="1" applyNumberFormat="1">
      <alignment readingOrder="0"/>
    </xf>
    <xf borderId="9" fillId="7" fontId="8" numFmtId="168" xfId="0" applyAlignment="1" applyBorder="1" applyFont="1" applyNumberFormat="1">
      <alignment readingOrder="0"/>
    </xf>
    <xf borderId="9" fillId="28" fontId="8" numFmtId="168" xfId="0" applyAlignment="1" applyBorder="1" applyFill="1" applyFont="1" applyNumberFormat="1">
      <alignment readingOrder="0"/>
    </xf>
    <xf borderId="9" fillId="29" fontId="8" numFmtId="168" xfId="0" applyAlignment="1" applyBorder="1" applyFill="1" applyFont="1" applyNumberFormat="1">
      <alignment readingOrder="0"/>
    </xf>
    <xf borderId="9" fillId="0" fontId="15" numFmtId="0" xfId="0" applyAlignment="1" applyBorder="1" applyFont="1">
      <alignment horizontal="right" readingOrder="0"/>
    </xf>
    <xf borderId="9" fillId="30" fontId="8" numFmtId="168" xfId="0" applyAlignment="1" applyBorder="1" applyFill="1" applyFont="1" applyNumberFormat="1">
      <alignment readingOrder="0"/>
    </xf>
    <xf borderId="9" fillId="31" fontId="8" numFmtId="168" xfId="0" applyAlignment="1" applyBorder="1" applyFill="1" applyFont="1" applyNumberFormat="1">
      <alignment readingOrder="0"/>
    </xf>
    <xf borderId="9" fillId="32" fontId="8" numFmtId="168" xfId="0" applyAlignment="1" applyBorder="1" applyFill="1" applyFont="1" applyNumberFormat="1">
      <alignment readingOrder="0"/>
    </xf>
    <xf borderId="9" fillId="33" fontId="8" numFmtId="168" xfId="0" applyAlignment="1" applyBorder="1" applyFill="1" applyFont="1" applyNumberFormat="1">
      <alignment readingOrder="0"/>
    </xf>
    <xf borderId="0" fillId="0" fontId="19" numFmtId="0" xfId="0" applyAlignment="1" applyFont="1">
      <alignment horizontal="right" readingOrder="0" shrinkToFit="0" vertical="bottom" wrapText="0"/>
    </xf>
    <xf borderId="9" fillId="0" fontId="8" numFmtId="0" xfId="0" applyAlignment="1" applyBorder="1" applyFont="1">
      <alignment readingOrder="0" shrinkToFit="0" vertical="center" wrapText="0"/>
    </xf>
    <xf borderId="0" fillId="3" fontId="27" numFmtId="0" xfId="0" applyAlignment="1" applyFont="1">
      <alignment readingOrder="0" shrinkToFit="0" wrapText="0"/>
    </xf>
    <xf borderId="9" fillId="34" fontId="8" numFmtId="168" xfId="0" applyAlignment="1" applyBorder="1" applyFill="1" applyFont="1" applyNumberFormat="1">
      <alignment readingOrder="0"/>
    </xf>
    <xf borderId="9" fillId="0" fontId="8" numFmtId="0" xfId="0" applyAlignment="1" applyBorder="1" applyFont="1">
      <alignment readingOrder="0"/>
    </xf>
    <xf borderId="9" fillId="0" fontId="22" numFmtId="0" xfId="0" applyBorder="1" applyFont="1"/>
    <xf borderId="9" fillId="35" fontId="8" numFmtId="168" xfId="0" applyAlignment="1" applyBorder="1" applyFill="1" applyFont="1" applyNumberFormat="1">
      <alignment readingOrder="0"/>
    </xf>
    <xf borderId="9" fillId="36" fontId="8" numFmtId="168" xfId="0" applyAlignment="1" applyBorder="1" applyFill="1" applyFont="1" applyNumberFormat="1">
      <alignment readingOrder="0"/>
    </xf>
    <xf borderId="0" fillId="0" fontId="8" numFmtId="168" xfId="0" applyAlignment="1" applyFont="1" applyNumberFormat="1">
      <alignment readingOrder="0"/>
    </xf>
    <xf borderId="11" fillId="2" fontId="4" numFmtId="0" xfId="0" applyAlignment="1" applyBorder="1" applyFont="1">
      <alignment horizontal="left" readingOrder="0" vertical="center"/>
    </xf>
    <xf borderId="12" fillId="2" fontId="4" numFmtId="0" xfId="0" applyAlignment="1" applyBorder="1" applyFont="1">
      <alignment horizontal="left" readingOrder="0" vertical="center"/>
    </xf>
    <xf borderId="13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4" fontId="11" numFmtId="0" xfId="0" applyAlignment="1" applyBorder="1" applyFont="1">
      <alignment horizontal="center" readingOrder="0" shrinkToFit="0" vertical="center" wrapText="1"/>
    </xf>
    <xf borderId="13" fillId="2" fontId="4" numFmtId="0" xfId="0" applyAlignment="1" applyBorder="1" applyFont="1">
      <alignment horizontal="center" readingOrder="0" shrinkToFit="0" vertical="center" wrapText="1"/>
    </xf>
    <xf borderId="13" fillId="2" fontId="12" numFmtId="0" xfId="0" applyAlignment="1" applyBorder="1" applyFont="1">
      <alignment horizontal="center" readingOrder="0" shrinkToFit="0" vertical="center" wrapText="1"/>
    </xf>
    <xf borderId="9" fillId="37" fontId="8" numFmtId="168" xfId="0" applyAlignment="1" applyBorder="1" applyFill="1" applyFont="1" applyNumberFormat="1">
      <alignment readingOrder="0"/>
    </xf>
    <xf borderId="9" fillId="38" fontId="8" numFmtId="168" xfId="0" applyAlignment="1" applyBorder="1" applyFill="1" applyFont="1" applyNumberFormat="1">
      <alignment readingOrder="0"/>
    </xf>
    <xf borderId="9" fillId="39" fontId="8" numFmtId="168" xfId="0" applyAlignment="1" applyBorder="1" applyFill="1" applyFont="1" applyNumberFormat="1">
      <alignment readingOrder="0"/>
    </xf>
    <xf borderId="9" fillId="12" fontId="8" numFmtId="4" xfId="0" applyAlignment="1" applyBorder="1" applyFont="1" applyNumberFormat="1">
      <alignment readingOrder="0"/>
    </xf>
    <xf borderId="9" fillId="23" fontId="8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mymusicstaff.com/Teacher/v2/es/students/details?id=sdt_fT4BJ2" TargetMode="External"/><Relationship Id="rId2" Type="http://schemas.openxmlformats.org/officeDocument/2006/relationships/hyperlink" Target="https://app.mymusicstaff.com/Teacher/v2/es/students/details?id=sdt_ft8yJK" TargetMode="External"/><Relationship Id="rId3" Type="http://schemas.openxmlformats.org/officeDocument/2006/relationships/hyperlink" Target="https://app.mymusicstaff.com/Teacher/v2/es/students/details?id=sdt_LV97JZ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4.63"/>
    <col customWidth="1" min="3" max="3" width="10.13"/>
    <col customWidth="1" min="4" max="4" width="5.13"/>
    <col customWidth="1" min="5" max="5" width="6.0"/>
    <col customWidth="1" min="6" max="6" width="8.63"/>
    <col customWidth="1" min="7" max="7" width="11.88"/>
    <col customWidth="1" min="8" max="8" width="34.0"/>
    <col customWidth="1" min="9" max="9" width="44.0"/>
    <col customWidth="1" min="10" max="10" width="48.38"/>
    <col customWidth="1" min="11" max="11" width="23.75"/>
    <col customWidth="1" min="12" max="12" width="13.5"/>
    <col customWidth="1" hidden="1" min="13" max="14" width="14.25"/>
    <col customWidth="1" min="15" max="15" width="11.75"/>
    <col customWidth="1" min="16" max="16" width="19.88"/>
    <col customWidth="1" min="17" max="17" width="17.5"/>
    <col customWidth="1" min="18" max="19" width="11.88"/>
    <col customWidth="1" min="20" max="20" width="4.63"/>
    <col customWidth="1" min="21" max="21" width="11.0"/>
    <col customWidth="1" min="22" max="22" width="12.5"/>
    <col customWidth="1" min="23" max="33" width="8.63"/>
  </cols>
  <sheetData>
    <row r="1" ht="21.75" customHeight="1">
      <c r="A1" s="5" t="s">
        <v>2</v>
      </c>
      <c r="B1" s="9" t="s">
        <v>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7"/>
      <c r="P1" s="20"/>
      <c r="Q1" s="20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ht="7.5" customHeight="1">
      <c r="A2" s="24"/>
      <c r="B2" s="24" t="s">
        <v>5</v>
      </c>
      <c r="C2" s="23"/>
      <c r="D2" s="23"/>
      <c r="E2" s="23"/>
      <c r="F2" s="23"/>
      <c r="G2" s="23"/>
      <c r="H2" s="23"/>
      <c r="I2" s="23"/>
      <c r="J2" s="23" t="str">
        <f>IFERROR(__xludf.DUMMYFUNCTION("AI(""Introduce un valor adecuado para esta celda según el contexto de la tabla"")"),"=AI(""Introduce un valor adecuado para esta celda según el contexto de la tabla"")")</f>
        <v>=AI("Introduce un valor adecuado para esta celda según el contexto de la tabla")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>
      <c r="A3" s="29"/>
      <c r="B3" s="30" t="s">
        <v>1</v>
      </c>
      <c r="C3" s="32" t="s">
        <v>3</v>
      </c>
      <c r="D3" s="35" t="s">
        <v>4</v>
      </c>
      <c r="E3" s="7"/>
      <c r="F3" s="8"/>
      <c r="G3" s="39" t="s">
        <v>28</v>
      </c>
      <c r="H3" s="39" t="s">
        <v>29</v>
      </c>
      <c r="I3" s="32" t="s">
        <v>30</v>
      </c>
      <c r="J3" s="32" t="s">
        <v>7</v>
      </c>
      <c r="K3" s="39" t="s">
        <v>33</v>
      </c>
      <c r="L3" s="30" t="s">
        <v>34</v>
      </c>
      <c r="M3" s="32" t="s">
        <v>37</v>
      </c>
      <c r="N3" s="32" t="s">
        <v>10</v>
      </c>
      <c r="O3" s="32" t="s">
        <v>38</v>
      </c>
      <c r="P3" s="43" t="s">
        <v>39</v>
      </c>
      <c r="Q3" s="43" t="s">
        <v>40</v>
      </c>
      <c r="R3" s="23"/>
      <c r="S3" s="30" t="s">
        <v>41</v>
      </c>
      <c r="T3" s="23"/>
      <c r="U3" s="43" t="s">
        <v>42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29"/>
      <c r="B4" s="11"/>
      <c r="C4" s="11"/>
      <c r="D4" s="48" t="s">
        <v>12</v>
      </c>
      <c r="E4" s="48" t="s">
        <v>13</v>
      </c>
      <c r="F4" s="48" t="s">
        <v>14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23"/>
      <c r="S4" s="11"/>
      <c r="T4" s="23"/>
      <c r="U4" s="11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53"/>
      <c r="B5" s="54"/>
      <c r="C5" s="31">
        <v>45965.0</v>
      </c>
      <c r="D5" s="41">
        <v>1.0</v>
      </c>
      <c r="E5" s="33" t="s">
        <v>43</v>
      </c>
      <c r="F5" s="34">
        <v>1.0</v>
      </c>
      <c r="G5" s="36"/>
      <c r="H5" s="36" t="s">
        <v>44</v>
      </c>
      <c r="I5" s="55"/>
      <c r="J5" s="36" t="s">
        <v>45</v>
      </c>
      <c r="K5" s="36"/>
      <c r="L5" s="56"/>
      <c r="M5" s="57">
        <v>127.12</v>
      </c>
      <c r="N5" s="40">
        <v>22.88</v>
      </c>
      <c r="O5" s="40">
        <v>150.0</v>
      </c>
      <c r="P5" s="58"/>
      <c r="Q5" s="58"/>
      <c r="R5" s="59">
        <f>O5</f>
        <v>150</v>
      </c>
      <c r="S5" s="60" t="s">
        <v>46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24"/>
      <c r="B6" s="34"/>
      <c r="C6" s="31">
        <v>45971.0</v>
      </c>
      <c r="D6" s="61"/>
      <c r="E6" s="62"/>
      <c r="F6" s="54"/>
      <c r="G6" s="36"/>
      <c r="H6" s="36"/>
      <c r="I6" s="36" t="s">
        <v>47</v>
      </c>
      <c r="J6" s="36" t="s">
        <v>48</v>
      </c>
      <c r="K6" s="36"/>
      <c r="L6" s="56" t="s">
        <v>49</v>
      </c>
      <c r="M6" s="57"/>
      <c r="N6" s="63"/>
      <c r="O6" s="40">
        <v>260.0</v>
      </c>
      <c r="P6" s="58"/>
      <c r="Q6" s="58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24"/>
      <c r="B7" s="34">
        <v>2.0</v>
      </c>
      <c r="C7" s="31">
        <v>45971.0</v>
      </c>
      <c r="D7" s="61"/>
      <c r="E7" s="62"/>
      <c r="F7" s="54"/>
      <c r="G7" s="36"/>
      <c r="H7" s="36"/>
      <c r="I7" s="36" t="s">
        <v>50</v>
      </c>
      <c r="J7" s="36" t="s">
        <v>51</v>
      </c>
      <c r="K7" s="36"/>
      <c r="L7" s="56" t="s">
        <v>49</v>
      </c>
      <c r="M7" s="64"/>
      <c r="N7" s="63"/>
      <c r="O7" s="40">
        <v>79.0</v>
      </c>
      <c r="P7" s="58"/>
      <c r="Q7" s="58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24"/>
      <c r="B8" s="34">
        <v>3.0</v>
      </c>
      <c r="C8" s="31">
        <v>45973.0</v>
      </c>
      <c r="D8" s="61"/>
      <c r="E8" s="62"/>
      <c r="F8" s="54"/>
      <c r="G8" s="36"/>
      <c r="H8" s="36"/>
      <c r="I8" s="36" t="s">
        <v>52</v>
      </c>
      <c r="J8" s="36" t="s">
        <v>53</v>
      </c>
      <c r="K8" s="36"/>
      <c r="L8" s="56" t="s">
        <v>49</v>
      </c>
      <c r="M8" s="64"/>
      <c r="N8" s="63"/>
      <c r="O8" s="40">
        <v>400.0</v>
      </c>
      <c r="P8" s="58"/>
      <c r="Q8" s="58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24"/>
      <c r="B9" s="34">
        <v>4.0</v>
      </c>
      <c r="C9" s="31">
        <v>45975.0</v>
      </c>
      <c r="D9" s="61"/>
      <c r="E9" s="62"/>
      <c r="F9" s="54"/>
      <c r="G9" s="36"/>
      <c r="H9" s="36"/>
      <c r="I9" s="36" t="s">
        <v>54</v>
      </c>
      <c r="J9" s="36" t="s">
        <v>55</v>
      </c>
      <c r="K9" s="36"/>
      <c r="L9" s="56" t="s">
        <v>49</v>
      </c>
      <c r="M9" s="64"/>
      <c r="N9" s="63"/>
      <c r="O9" s="40">
        <v>394.0</v>
      </c>
      <c r="P9" s="58"/>
      <c r="Q9" s="58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24"/>
      <c r="B10" s="34">
        <v>5.0</v>
      </c>
      <c r="C10" s="31">
        <v>45976.0</v>
      </c>
      <c r="D10" s="61"/>
      <c r="E10" s="62"/>
      <c r="F10" s="54"/>
      <c r="G10" s="36"/>
      <c r="H10" s="36"/>
      <c r="I10" s="36" t="s">
        <v>56</v>
      </c>
      <c r="J10" s="36" t="s">
        <v>57</v>
      </c>
      <c r="K10" s="36"/>
      <c r="L10" s="56" t="s">
        <v>49</v>
      </c>
      <c r="M10" s="64"/>
      <c r="N10" s="63"/>
      <c r="O10" s="40">
        <v>297.0</v>
      </c>
      <c r="P10" s="58"/>
      <c r="Q10" s="58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24"/>
      <c r="B11" s="34">
        <v>6.0</v>
      </c>
      <c r="C11" s="31">
        <v>45972.0</v>
      </c>
      <c r="D11" s="61"/>
      <c r="E11" s="62"/>
      <c r="F11" s="54"/>
      <c r="G11" s="36"/>
      <c r="H11" s="36"/>
      <c r="I11" s="36" t="s">
        <v>58</v>
      </c>
      <c r="J11" s="36" t="s">
        <v>59</v>
      </c>
      <c r="K11" s="36"/>
      <c r="L11" s="56" t="s">
        <v>49</v>
      </c>
      <c r="M11" s="64"/>
      <c r="N11" s="63"/>
      <c r="O11" s="40">
        <v>30.0</v>
      </c>
      <c r="P11" s="58"/>
      <c r="Q11" s="58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24"/>
      <c r="B12" s="34">
        <v>7.0</v>
      </c>
      <c r="C12" s="31">
        <v>45976.0</v>
      </c>
      <c r="D12" s="61"/>
      <c r="E12" s="62"/>
      <c r="F12" s="54"/>
      <c r="G12" s="36"/>
      <c r="H12" s="36"/>
      <c r="I12" s="36" t="s">
        <v>60</v>
      </c>
      <c r="J12" s="36" t="s">
        <v>55</v>
      </c>
      <c r="K12" s="36"/>
      <c r="L12" s="56" t="s">
        <v>49</v>
      </c>
      <c r="M12" s="64"/>
      <c r="N12" s="63"/>
      <c r="O12" s="40">
        <v>394.0</v>
      </c>
      <c r="P12" s="58"/>
      <c r="Q12" s="58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24"/>
      <c r="B13" s="34">
        <v>8.0</v>
      </c>
      <c r="C13" s="31">
        <v>45979.0</v>
      </c>
      <c r="D13" s="61"/>
      <c r="E13" s="62"/>
      <c r="F13" s="54"/>
      <c r="G13" s="36"/>
      <c r="H13" s="36"/>
      <c r="I13" s="36" t="s">
        <v>61</v>
      </c>
      <c r="J13" s="36" t="s">
        <v>55</v>
      </c>
      <c r="K13" s="36"/>
      <c r="L13" s="56" t="s">
        <v>49</v>
      </c>
      <c r="M13" s="64"/>
      <c r="N13" s="63"/>
      <c r="O13" s="40">
        <v>394.0</v>
      </c>
      <c r="P13" s="58"/>
      <c r="Q13" s="58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53"/>
      <c r="B14" s="54">
        <v>2.0</v>
      </c>
      <c r="C14" s="31">
        <v>45981.0</v>
      </c>
      <c r="D14" s="61"/>
      <c r="E14" s="62"/>
      <c r="F14" s="54"/>
      <c r="G14" s="36"/>
      <c r="H14" s="36" t="s">
        <v>62</v>
      </c>
      <c r="I14" s="36" t="s">
        <v>63</v>
      </c>
      <c r="J14" s="36" t="s">
        <v>64</v>
      </c>
      <c r="K14" s="36"/>
      <c r="L14" s="56" t="s">
        <v>49</v>
      </c>
      <c r="M14" s="64"/>
      <c r="N14" s="63"/>
      <c r="O14" s="40">
        <v>50.0</v>
      </c>
      <c r="P14" s="58"/>
      <c r="Q14" s="58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53"/>
      <c r="B15" s="54">
        <v>3.0</v>
      </c>
      <c r="C15" s="31">
        <v>45981.0</v>
      </c>
      <c r="D15" s="61"/>
      <c r="E15" s="62"/>
      <c r="F15" s="54"/>
      <c r="G15" s="36"/>
      <c r="H15" s="36" t="s">
        <v>65</v>
      </c>
      <c r="I15" s="36" t="s">
        <v>65</v>
      </c>
      <c r="J15" s="36" t="s">
        <v>66</v>
      </c>
      <c r="K15" s="36"/>
      <c r="L15" s="56" t="s">
        <v>49</v>
      </c>
      <c r="M15" s="64"/>
      <c r="N15" s="63"/>
      <c r="O15" s="40">
        <v>500.0</v>
      </c>
      <c r="P15" s="58"/>
      <c r="Q15" s="58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53"/>
      <c r="B16" s="54">
        <f t="shared" ref="B16:B36" si="1">B15+1</f>
        <v>4</v>
      </c>
      <c r="C16" s="31">
        <v>45982.0</v>
      </c>
      <c r="D16" s="41">
        <v>3.0</v>
      </c>
      <c r="E16" s="33" t="s">
        <v>67</v>
      </c>
      <c r="F16" s="34">
        <v>2.0</v>
      </c>
      <c r="G16" s="36"/>
      <c r="H16" s="36" t="s">
        <v>68</v>
      </c>
      <c r="I16" s="36" t="s">
        <v>69</v>
      </c>
      <c r="J16" s="36" t="s">
        <v>70</v>
      </c>
      <c r="K16" s="36"/>
      <c r="L16" s="56" t="s">
        <v>49</v>
      </c>
      <c r="M16" s="64"/>
      <c r="N16" s="63"/>
      <c r="O16" s="40">
        <v>297.0</v>
      </c>
      <c r="P16" s="58"/>
      <c r="Q16" s="58"/>
      <c r="R16" s="65">
        <v>297.0</v>
      </c>
      <c r="S16" s="60" t="s">
        <v>48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53"/>
      <c r="B17" s="54">
        <f t="shared" si="1"/>
        <v>5</v>
      </c>
      <c r="C17" s="31">
        <v>45983.0</v>
      </c>
      <c r="D17" s="41">
        <v>3.0</v>
      </c>
      <c r="E17" s="33" t="s">
        <v>67</v>
      </c>
      <c r="F17" s="34">
        <v>3.0</v>
      </c>
      <c r="G17" s="36"/>
      <c r="H17" s="36" t="s">
        <v>71</v>
      </c>
      <c r="I17" s="36" t="s">
        <v>71</v>
      </c>
      <c r="J17" s="36" t="s">
        <v>72</v>
      </c>
      <c r="K17" s="36"/>
      <c r="L17" s="56" t="s">
        <v>49</v>
      </c>
      <c r="M17" s="64"/>
      <c r="N17" s="63"/>
      <c r="O17" s="40">
        <v>394.0</v>
      </c>
      <c r="P17" s="58"/>
      <c r="Q17" s="58"/>
      <c r="R17" s="65">
        <v>297.0</v>
      </c>
      <c r="S17" s="60" t="s">
        <v>48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53"/>
      <c r="B18" s="54">
        <f t="shared" si="1"/>
        <v>6</v>
      </c>
      <c r="C18" s="31">
        <v>45983.0</v>
      </c>
      <c r="D18" s="61"/>
      <c r="E18" s="62"/>
      <c r="F18" s="54"/>
      <c r="G18" s="36"/>
      <c r="H18" s="36" t="s">
        <v>73</v>
      </c>
      <c r="I18" s="36" t="s">
        <v>74</v>
      </c>
      <c r="J18" s="36" t="s">
        <v>75</v>
      </c>
      <c r="K18" s="36"/>
      <c r="L18" s="56" t="s">
        <v>49</v>
      </c>
      <c r="M18" s="64"/>
      <c r="N18" s="63"/>
      <c r="O18" s="40">
        <v>788.0</v>
      </c>
      <c r="P18" s="58"/>
      <c r="Q18" s="58"/>
      <c r="R18" s="23"/>
      <c r="S18" s="23"/>
      <c r="T18" s="23"/>
      <c r="U18" s="23"/>
      <c r="V18" s="60" t="s">
        <v>76</v>
      </c>
      <c r="W18" s="60">
        <v>102.0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53"/>
      <c r="B19" s="54">
        <f t="shared" si="1"/>
        <v>7</v>
      </c>
      <c r="C19" s="31">
        <v>45986.0</v>
      </c>
      <c r="D19" s="41">
        <v>3.0</v>
      </c>
      <c r="E19" s="33" t="s">
        <v>67</v>
      </c>
      <c r="F19" s="34">
        <v>1.0</v>
      </c>
      <c r="G19" s="36"/>
      <c r="H19" s="36" t="s">
        <v>77</v>
      </c>
      <c r="I19" s="36" t="s">
        <v>78</v>
      </c>
      <c r="J19" s="36" t="s">
        <v>79</v>
      </c>
      <c r="K19" s="36"/>
      <c r="L19" s="56" t="s">
        <v>49</v>
      </c>
      <c r="M19" s="64"/>
      <c r="N19" s="63"/>
      <c r="O19" s="40">
        <v>394.0</v>
      </c>
      <c r="P19" s="58"/>
      <c r="Q19" s="58"/>
      <c r="R19" s="59">
        <f>O19</f>
        <v>394</v>
      </c>
      <c r="S19" s="60" t="s">
        <v>46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53"/>
      <c r="B20" s="54">
        <f t="shared" si="1"/>
        <v>8</v>
      </c>
      <c r="C20" s="31">
        <v>45986.0</v>
      </c>
      <c r="D20" s="61"/>
      <c r="E20" s="62"/>
      <c r="F20" s="54"/>
      <c r="G20" s="36"/>
      <c r="H20" s="36" t="s">
        <v>80</v>
      </c>
      <c r="I20" s="36" t="s">
        <v>81</v>
      </c>
      <c r="J20" s="36" t="s">
        <v>82</v>
      </c>
      <c r="K20" s="36"/>
      <c r="L20" s="56" t="s">
        <v>49</v>
      </c>
      <c r="M20" s="64"/>
      <c r="N20" s="63"/>
      <c r="O20" s="40">
        <v>30.0</v>
      </c>
      <c r="P20" s="58"/>
      <c r="Q20" s="58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53"/>
      <c r="B21" s="54">
        <f t="shared" si="1"/>
        <v>9</v>
      </c>
      <c r="C21" s="66">
        <v>45986.0</v>
      </c>
      <c r="D21" s="67"/>
      <c r="E21" s="67"/>
      <c r="F21" s="67"/>
      <c r="G21" s="68"/>
      <c r="H21" s="68" t="s">
        <v>50</v>
      </c>
      <c r="I21" s="36" t="s">
        <v>50</v>
      </c>
      <c r="J21" s="68" t="s">
        <v>83</v>
      </c>
      <c r="K21" s="68"/>
      <c r="L21" s="56" t="s">
        <v>84</v>
      </c>
      <c r="M21" s="69"/>
      <c r="N21" s="69"/>
      <c r="O21" s="70">
        <v>49.0</v>
      </c>
      <c r="P21" s="58"/>
      <c r="Q21" s="58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53"/>
      <c r="B22" s="54">
        <f t="shared" si="1"/>
        <v>10</v>
      </c>
      <c r="C22" s="31">
        <v>45986.0</v>
      </c>
      <c r="D22" s="41">
        <v>3.0</v>
      </c>
      <c r="E22" s="34" t="s">
        <v>67</v>
      </c>
      <c r="F22" s="34">
        <v>4.0</v>
      </c>
      <c r="G22" s="36"/>
      <c r="H22" s="36" t="s">
        <v>50</v>
      </c>
      <c r="I22" s="36" t="s">
        <v>50</v>
      </c>
      <c r="J22" s="36" t="s">
        <v>85</v>
      </c>
      <c r="K22" s="36"/>
      <c r="L22" s="56" t="s">
        <v>49</v>
      </c>
      <c r="M22" s="63"/>
      <c r="N22" s="63"/>
      <c r="O22" s="40">
        <v>252.0</v>
      </c>
      <c r="P22" s="58"/>
      <c r="Q22" s="58"/>
      <c r="R22" s="71">
        <f t="shared" ref="R22:R23" si="2">O22</f>
        <v>252</v>
      </c>
      <c r="S22" s="60" t="s">
        <v>48</v>
      </c>
      <c r="T22" s="60" t="s">
        <v>86</v>
      </c>
      <c r="U22" s="60">
        <v>52.0</v>
      </c>
      <c r="V22" s="60" t="s">
        <v>87</v>
      </c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53"/>
      <c r="B23" s="54">
        <f t="shared" si="1"/>
        <v>11</v>
      </c>
      <c r="C23" s="31">
        <v>45986.0</v>
      </c>
      <c r="D23" s="41">
        <v>3.0</v>
      </c>
      <c r="E23" s="34" t="s">
        <v>67</v>
      </c>
      <c r="F23" s="34">
        <v>5.0</v>
      </c>
      <c r="G23" s="36"/>
      <c r="H23" s="36" t="s">
        <v>50</v>
      </c>
      <c r="I23" s="36" t="s">
        <v>88</v>
      </c>
      <c r="J23" s="36" t="s">
        <v>89</v>
      </c>
      <c r="K23" s="36"/>
      <c r="L23" s="56" t="s">
        <v>49</v>
      </c>
      <c r="M23" s="63"/>
      <c r="N23" s="63"/>
      <c r="O23" s="40">
        <v>252.0</v>
      </c>
      <c r="P23" s="58"/>
      <c r="Q23" s="58"/>
      <c r="R23" s="71">
        <f t="shared" si="2"/>
        <v>252</v>
      </c>
      <c r="S23" s="60" t="s">
        <v>48</v>
      </c>
      <c r="T23" s="60" t="s">
        <v>86</v>
      </c>
      <c r="U23" s="60"/>
      <c r="V23" s="60" t="s">
        <v>87</v>
      </c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53"/>
      <c r="B24" s="54">
        <f t="shared" si="1"/>
        <v>12</v>
      </c>
      <c r="C24" s="31">
        <v>45986.0</v>
      </c>
      <c r="D24" s="54"/>
      <c r="E24" s="54"/>
      <c r="F24" s="54"/>
      <c r="G24" s="36"/>
      <c r="H24" s="36" t="s">
        <v>50</v>
      </c>
      <c r="I24" s="36" t="s">
        <v>88</v>
      </c>
      <c r="J24" s="36" t="s">
        <v>90</v>
      </c>
      <c r="K24" s="36"/>
      <c r="L24" s="56" t="s">
        <v>84</v>
      </c>
      <c r="M24" s="63"/>
      <c r="N24" s="63"/>
      <c r="O24" s="40">
        <v>50.0</v>
      </c>
      <c r="P24" s="58"/>
      <c r="Q24" s="58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53"/>
      <c r="B25" s="54">
        <f t="shared" si="1"/>
        <v>13</v>
      </c>
      <c r="C25" s="31">
        <v>45986.0</v>
      </c>
      <c r="D25" s="41">
        <v>3.0</v>
      </c>
      <c r="E25" s="34" t="s">
        <v>67</v>
      </c>
      <c r="F25" s="34">
        <v>6.0</v>
      </c>
      <c r="G25" s="60"/>
      <c r="H25" s="60" t="s">
        <v>91</v>
      </c>
      <c r="I25" s="36" t="s">
        <v>92</v>
      </c>
      <c r="J25" s="36" t="s">
        <v>93</v>
      </c>
      <c r="K25" s="36"/>
      <c r="L25" s="56" t="s">
        <v>49</v>
      </c>
      <c r="M25" s="63"/>
      <c r="N25" s="63"/>
      <c r="O25" s="40">
        <v>297.0</v>
      </c>
      <c r="P25" s="58"/>
      <c r="Q25" s="58"/>
      <c r="R25" s="71">
        <f>O25</f>
        <v>297</v>
      </c>
      <c r="S25" s="60" t="s">
        <v>48</v>
      </c>
      <c r="T25" s="60" t="s">
        <v>86</v>
      </c>
      <c r="U25" s="60"/>
      <c r="V25" s="60" t="s">
        <v>87</v>
      </c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53"/>
      <c r="B26" s="54">
        <f t="shared" si="1"/>
        <v>14</v>
      </c>
      <c r="C26" s="31">
        <v>45987.0</v>
      </c>
      <c r="D26" s="54"/>
      <c r="E26" s="54"/>
      <c r="F26" s="34"/>
      <c r="G26" s="36"/>
      <c r="H26" s="36" t="s">
        <v>94</v>
      </c>
      <c r="I26" s="36" t="s">
        <v>95</v>
      </c>
      <c r="J26" s="36" t="s">
        <v>96</v>
      </c>
      <c r="K26" s="36"/>
      <c r="L26" s="56" t="s">
        <v>49</v>
      </c>
      <c r="M26" s="63"/>
      <c r="N26" s="63"/>
      <c r="O26" s="40">
        <v>330.0</v>
      </c>
      <c r="P26" s="58"/>
      <c r="Q26" s="58"/>
      <c r="R26" s="23"/>
      <c r="S26" s="60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53"/>
      <c r="B27" s="54">
        <f t="shared" si="1"/>
        <v>15</v>
      </c>
      <c r="C27" s="31">
        <v>45987.0</v>
      </c>
      <c r="D27" s="41">
        <v>3.0</v>
      </c>
      <c r="E27" s="34" t="s">
        <v>67</v>
      </c>
      <c r="F27" s="34">
        <v>7.0</v>
      </c>
      <c r="G27" s="36"/>
      <c r="H27" s="36" t="s">
        <v>97</v>
      </c>
      <c r="I27" s="36" t="s">
        <v>98</v>
      </c>
      <c r="J27" s="36" t="s">
        <v>48</v>
      </c>
      <c r="K27" s="36"/>
      <c r="L27" s="56" t="s">
        <v>49</v>
      </c>
      <c r="M27" s="63"/>
      <c r="N27" s="63"/>
      <c r="O27" s="40">
        <v>252.0</v>
      </c>
      <c r="P27" s="58"/>
      <c r="Q27" s="58"/>
      <c r="R27" s="71">
        <f t="shared" ref="R27:R28" si="3">O27</f>
        <v>252</v>
      </c>
      <c r="S27" s="60" t="s">
        <v>48</v>
      </c>
      <c r="T27" s="60" t="s">
        <v>86</v>
      </c>
      <c r="U27" s="60">
        <v>52.0</v>
      </c>
      <c r="V27" s="60" t="s">
        <v>87</v>
      </c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53"/>
      <c r="B28" s="54">
        <f t="shared" si="1"/>
        <v>16</v>
      </c>
      <c r="C28" s="31">
        <v>45988.0</v>
      </c>
      <c r="D28" s="41">
        <v>3.0</v>
      </c>
      <c r="E28" s="34" t="s">
        <v>67</v>
      </c>
      <c r="F28" s="34">
        <v>8.0</v>
      </c>
      <c r="G28" s="36"/>
      <c r="H28" s="36" t="s">
        <v>99</v>
      </c>
      <c r="I28" s="36" t="s">
        <v>100</v>
      </c>
      <c r="J28" s="36" t="s">
        <v>48</v>
      </c>
      <c r="K28" s="36"/>
      <c r="L28" s="56" t="s">
        <v>49</v>
      </c>
      <c r="M28" s="63"/>
      <c r="N28" s="63"/>
      <c r="O28" s="40">
        <v>297.0</v>
      </c>
      <c r="P28" s="58"/>
      <c r="Q28" s="58"/>
      <c r="R28" s="71">
        <f t="shared" si="3"/>
        <v>297</v>
      </c>
      <c r="S28" s="60" t="s">
        <v>48</v>
      </c>
      <c r="T28" s="60" t="s">
        <v>86</v>
      </c>
      <c r="U28" s="60">
        <v>40.0</v>
      </c>
      <c r="V28" s="60" t="s">
        <v>87</v>
      </c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53"/>
      <c r="B29" s="54">
        <f t="shared" si="1"/>
        <v>17</v>
      </c>
      <c r="C29" s="31">
        <v>45988.0</v>
      </c>
      <c r="D29" s="54"/>
      <c r="E29" s="54"/>
      <c r="F29" s="54"/>
      <c r="G29" s="36"/>
      <c r="H29" s="36" t="s">
        <v>101</v>
      </c>
      <c r="I29" s="36" t="s">
        <v>102</v>
      </c>
      <c r="J29" s="36" t="s">
        <v>103</v>
      </c>
      <c r="K29" s="36"/>
      <c r="L29" s="56" t="s">
        <v>49</v>
      </c>
      <c r="M29" s="63"/>
      <c r="N29" s="63"/>
      <c r="O29" s="40">
        <v>540.0</v>
      </c>
      <c r="P29" s="58"/>
      <c r="Q29" s="58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A30" s="53"/>
      <c r="B30" s="54">
        <f t="shared" si="1"/>
        <v>18</v>
      </c>
      <c r="C30" s="31">
        <v>45988.0</v>
      </c>
      <c r="D30" s="54"/>
      <c r="E30" s="54"/>
      <c r="F30" s="54"/>
      <c r="G30" s="36"/>
      <c r="H30" s="36" t="s">
        <v>104</v>
      </c>
      <c r="I30" s="36" t="s">
        <v>105</v>
      </c>
      <c r="J30" s="36" t="s">
        <v>106</v>
      </c>
      <c r="K30" s="36"/>
      <c r="L30" s="56" t="s">
        <v>49</v>
      </c>
      <c r="M30" s="63"/>
      <c r="N30" s="63"/>
      <c r="O30" s="40">
        <v>97.0</v>
      </c>
      <c r="P30" s="58"/>
      <c r="Q30" s="58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>
      <c r="A31" s="24"/>
      <c r="B31" s="34">
        <f t="shared" si="1"/>
        <v>19</v>
      </c>
      <c r="C31" s="31">
        <v>45988.0</v>
      </c>
      <c r="D31" s="54"/>
      <c r="E31" s="54"/>
      <c r="F31" s="54"/>
      <c r="G31" s="36"/>
      <c r="H31" s="36" t="s">
        <v>107</v>
      </c>
      <c r="I31" s="36" t="s">
        <v>108</v>
      </c>
      <c r="J31" s="36" t="s">
        <v>109</v>
      </c>
      <c r="K31" s="36"/>
      <c r="L31" s="56" t="s">
        <v>49</v>
      </c>
      <c r="M31" s="63"/>
      <c r="N31" s="63"/>
      <c r="O31" s="40">
        <v>17.0</v>
      </c>
      <c r="P31" s="58"/>
      <c r="Q31" s="58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>
      <c r="A32" s="24"/>
      <c r="B32" s="34">
        <f t="shared" si="1"/>
        <v>20</v>
      </c>
      <c r="C32" s="31">
        <v>45989.0</v>
      </c>
      <c r="D32" s="54"/>
      <c r="E32" s="54"/>
      <c r="F32" s="54"/>
      <c r="G32" s="36"/>
      <c r="H32" s="36" t="s">
        <v>110</v>
      </c>
      <c r="I32" s="36" t="s">
        <v>110</v>
      </c>
      <c r="J32" s="36" t="s">
        <v>111</v>
      </c>
      <c r="K32" s="36"/>
      <c r="L32" s="56" t="s">
        <v>49</v>
      </c>
      <c r="M32" s="63"/>
      <c r="N32" s="63"/>
      <c r="O32" s="40">
        <v>120.0</v>
      </c>
      <c r="P32" s="58"/>
      <c r="Q32" s="58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>
      <c r="A33" s="24"/>
      <c r="B33" s="34">
        <f t="shared" si="1"/>
        <v>21</v>
      </c>
      <c r="C33" s="31">
        <v>38685.0</v>
      </c>
      <c r="D33" s="41">
        <v>3.0</v>
      </c>
      <c r="E33" s="34" t="s">
        <v>67</v>
      </c>
      <c r="F33" s="34">
        <v>9.0</v>
      </c>
      <c r="G33" s="72"/>
      <c r="H33" s="72" t="s">
        <v>112</v>
      </c>
      <c r="I33" s="73" t="s">
        <v>113</v>
      </c>
      <c r="J33" s="36" t="s">
        <v>55</v>
      </c>
      <c r="K33" s="36"/>
      <c r="L33" s="56" t="s">
        <v>49</v>
      </c>
      <c r="M33" s="63"/>
      <c r="N33" s="63"/>
      <c r="O33" s="40">
        <v>394.0</v>
      </c>
      <c r="P33" s="58"/>
      <c r="Q33" s="58"/>
      <c r="R33" s="65">
        <v>297.0</v>
      </c>
      <c r="S33" s="60" t="s">
        <v>48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>
      <c r="A34" s="24"/>
      <c r="B34" s="34">
        <f t="shared" si="1"/>
        <v>22</v>
      </c>
      <c r="C34" s="31">
        <v>38685.0</v>
      </c>
      <c r="D34" s="41">
        <v>3.0</v>
      </c>
      <c r="E34" s="34" t="s">
        <v>67</v>
      </c>
      <c r="F34" s="34">
        <v>10.0</v>
      </c>
      <c r="G34" s="36"/>
      <c r="H34" s="36" t="s">
        <v>114</v>
      </c>
      <c r="I34" s="36" t="s">
        <v>114</v>
      </c>
      <c r="J34" s="36" t="s">
        <v>48</v>
      </c>
      <c r="K34" s="36"/>
      <c r="L34" s="56" t="s">
        <v>49</v>
      </c>
      <c r="M34" s="63"/>
      <c r="N34" s="63"/>
      <c r="O34" s="40">
        <v>297.0</v>
      </c>
      <c r="P34" s="58"/>
      <c r="Q34" s="58"/>
      <c r="R34" s="71">
        <f>O34</f>
        <v>297</v>
      </c>
      <c r="S34" s="60" t="s">
        <v>48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>
      <c r="A35" s="24"/>
      <c r="B35" s="34">
        <f t="shared" si="1"/>
        <v>23</v>
      </c>
      <c r="C35" s="31">
        <v>38685.0</v>
      </c>
      <c r="D35" s="54"/>
      <c r="E35" s="54"/>
      <c r="F35" s="54"/>
      <c r="G35" s="36"/>
      <c r="H35" s="36" t="s">
        <v>115</v>
      </c>
      <c r="I35" s="36" t="s">
        <v>116</v>
      </c>
      <c r="J35" s="36" t="s">
        <v>55</v>
      </c>
      <c r="K35" s="36"/>
      <c r="L35" s="56" t="s">
        <v>49</v>
      </c>
      <c r="M35" s="63"/>
      <c r="N35" s="63"/>
      <c r="O35" s="40">
        <v>619.0</v>
      </c>
      <c r="P35" s="58"/>
      <c r="Q35" s="58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>
      <c r="A36" s="24"/>
      <c r="B36" s="34">
        <f t="shared" si="1"/>
        <v>24</v>
      </c>
      <c r="C36" s="31">
        <v>38685.0</v>
      </c>
      <c r="D36" s="54"/>
      <c r="E36" s="54"/>
      <c r="F36" s="54"/>
      <c r="G36" s="36"/>
      <c r="H36" s="36" t="s">
        <v>117</v>
      </c>
      <c r="I36" s="73" t="s">
        <v>118</v>
      </c>
      <c r="J36" s="36" t="s">
        <v>55</v>
      </c>
      <c r="K36" s="36"/>
      <c r="L36" s="56" t="s">
        <v>49</v>
      </c>
      <c r="M36" s="63"/>
      <c r="N36" s="63"/>
      <c r="O36" s="74">
        <v>180.0</v>
      </c>
      <c r="P36" s="75"/>
      <c r="Q36" s="75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>
      <c r="A37" s="24"/>
      <c r="B37" s="34"/>
      <c r="C37" s="31"/>
      <c r="D37" s="54"/>
      <c r="E37" s="54"/>
      <c r="F37" s="54"/>
      <c r="G37" s="36"/>
      <c r="H37" s="36"/>
      <c r="I37" s="76"/>
      <c r="J37" s="36"/>
      <c r="K37" s="36"/>
      <c r="L37" s="56"/>
      <c r="M37" s="63"/>
      <c r="N37" s="63"/>
      <c r="O37" s="40"/>
      <c r="P37" s="58"/>
      <c r="Q37" s="58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>
      <c r="A38" s="77"/>
      <c r="B38" s="78"/>
      <c r="C38" s="78"/>
      <c r="D38" s="78"/>
      <c r="E38" s="78"/>
      <c r="F38" s="78"/>
      <c r="G38" s="79"/>
      <c r="H38" s="79"/>
      <c r="I38" s="79"/>
      <c r="J38" s="79"/>
      <c r="K38" s="79"/>
      <c r="L38" s="80"/>
      <c r="M38" s="80">
        <f t="shared" ref="M38:N38" si="4">SUM(M14:M21)</f>
        <v>0</v>
      </c>
      <c r="N38" s="80">
        <f t="shared" si="4"/>
        <v>0</v>
      </c>
      <c r="O38" s="80">
        <f>SUM(O5:O37)</f>
        <v>8894</v>
      </c>
      <c r="P38" s="80"/>
      <c r="Q38" s="80"/>
      <c r="R38" s="80">
        <f>SUM(R5:R34)</f>
        <v>3082</v>
      </c>
      <c r="S38" s="81"/>
      <c r="T38" s="82"/>
      <c r="U38" s="80">
        <f>SUM(U5:U33)</f>
        <v>144</v>
      </c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</row>
    <row r="39">
      <c r="A39" s="53"/>
      <c r="B39" s="54"/>
      <c r="C39" s="54"/>
      <c r="D39" s="54"/>
      <c r="E39" s="54"/>
      <c r="F39" s="54"/>
      <c r="G39" s="76"/>
      <c r="H39" s="76"/>
      <c r="I39" s="76"/>
      <c r="J39" s="76"/>
      <c r="K39" s="76"/>
      <c r="L39" s="76"/>
      <c r="M39" s="76"/>
      <c r="N39" s="76"/>
      <c r="O39" s="76"/>
      <c r="P39" s="83"/>
      <c r="Q39" s="83"/>
      <c r="R39" s="71">
        <f>R38-U38</f>
        <v>2938</v>
      </c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>
      <c r="A40" s="84"/>
      <c r="B40" s="8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65">
        <v>2800.0</v>
      </c>
      <c r="S40" s="65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ht="31.5" customHeight="1">
      <c r="A41" s="5"/>
      <c r="B41" s="9" t="s">
        <v>119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7"/>
      <c r="P41" s="5"/>
      <c r="Q41" s="5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84"/>
      <c r="B42" s="8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85"/>
      <c r="B43" s="32" t="s">
        <v>1</v>
      </c>
      <c r="C43" s="32" t="s">
        <v>3</v>
      </c>
      <c r="D43" s="35" t="s">
        <v>4</v>
      </c>
      <c r="E43" s="7"/>
      <c r="F43" s="8"/>
      <c r="G43" s="86"/>
      <c r="H43" s="30" t="s">
        <v>29</v>
      </c>
      <c r="I43" s="32" t="s">
        <v>30</v>
      </c>
      <c r="J43" s="32" t="s">
        <v>7</v>
      </c>
      <c r="K43" s="48"/>
      <c r="L43" s="30" t="s">
        <v>34</v>
      </c>
      <c r="M43" s="32" t="s">
        <v>37</v>
      </c>
      <c r="N43" s="32" t="s">
        <v>10</v>
      </c>
      <c r="O43" s="32" t="s">
        <v>38</v>
      </c>
      <c r="P43" s="43" t="s">
        <v>39</v>
      </c>
      <c r="Q43" s="43" t="s">
        <v>40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85"/>
      <c r="B44" s="11"/>
      <c r="C44" s="11"/>
      <c r="D44" s="48" t="s">
        <v>12</v>
      </c>
      <c r="E44" s="48" t="s">
        <v>13</v>
      </c>
      <c r="F44" s="48" t="s">
        <v>14</v>
      </c>
      <c r="G44" s="86"/>
      <c r="H44" s="11"/>
      <c r="I44" s="11"/>
      <c r="J44" s="11"/>
      <c r="K44" s="48"/>
      <c r="L44" s="11"/>
      <c r="M44" s="11"/>
      <c r="N44" s="11"/>
      <c r="O44" s="11"/>
      <c r="P44" s="11"/>
      <c r="Q44" s="11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87"/>
      <c r="B45" s="88">
        <v>1.0</v>
      </c>
      <c r="C45" s="89">
        <v>45992.0</v>
      </c>
      <c r="D45" s="78"/>
      <c r="E45" s="78"/>
      <c r="F45" s="78"/>
      <c r="G45" s="90"/>
      <c r="H45" s="90" t="s">
        <v>120</v>
      </c>
      <c r="I45" s="90" t="s">
        <v>121</v>
      </c>
      <c r="J45" s="91" t="s">
        <v>122</v>
      </c>
      <c r="K45" s="91"/>
      <c r="L45" s="92" t="s">
        <v>49</v>
      </c>
      <c r="M45" s="80"/>
      <c r="N45" s="80"/>
      <c r="O45" s="93">
        <v>97.0</v>
      </c>
      <c r="P45" s="94"/>
      <c r="Q45" s="94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</row>
    <row r="46" ht="14.25" customHeight="1">
      <c r="A46" s="87"/>
      <c r="B46" s="88">
        <v>2.0</v>
      </c>
      <c r="C46" s="89">
        <v>45992.0</v>
      </c>
      <c r="D46" s="96"/>
      <c r="E46" s="96"/>
      <c r="F46" s="96"/>
      <c r="G46" s="97"/>
      <c r="H46" s="97" t="s">
        <v>123</v>
      </c>
      <c r="I46" s="90" t="s">
        <v>124</v>
      </c>
      <c r="J46" s="91" t="s">
        <v>122</v>
      </c>
      <c r="K46" s="91"/>
      <c r="L46" s="98" t="s">
        <v>49</v>
      </c>
      <c r="M46" s="99"/>
      <c r="N46" s="99"/>
      <c r="O46" s="100">
        <v>97.0</v>
      </c>
      <c r="P46" s="101"/>
      <c r="Q46" s="101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 ht="14.25" customHeight="1">
      <c r="A47" s="87"/>
      <c r="B47" s="88">
        <v>3.0</v>
      </c>
      <c r="C47" s="103">
        <v>45992.0</v>
      </c>
      <c r="D47" s="96"/>
      <c r="E47" s="96"/>
      <c r="F47" s="96"/>
      <c r="G47" s="90"/>
      <c r="H47" s="90" t="s">
        <v>125</v>
      </c>
      <c r="I47" s="96"/>
      <c r="J47" s="90" t="s">
        <v>126</v>
      </c>
      <c r="K47" s="90"/>
      <c r="L47" s="98" t="s">
        <v>84</v>
      </c>
      <c r="M47" s="99"/>
      <c r="N47" s="99"/>
      <c r="O47" s="100">
        <v>8.0</v>
      </c>
      <c r="P47" s="101"/>
      <c r="Q47" s="101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 ht="14.25" customHeight="1">
      <c r="A48" s="87"/>
      <c r="B48" s="88">
        <v>4.0</v>
      </c>
      <c r="C48" s="103">
        <v>45992.0</v>
      </c>
      <c r="D48" s="96"/>
      <c r="E48" s="96"/>
      <c r="F48" s="96"/>
      <c r="G48" s="104"/>
      <c r="H48" s="104" t="s">
        <v>127</v>
      </c>
      <c r="I48" s="90" t="s">
        <v>128</v>
      </c>
      <c r="J48" s="90" t="s">
        <v>129</v>
      </c>
      <c r="K48" s="90"/>
      <c r="L48" s="98" t="s">
        <v>49</v>
      </c>
      <c r="M48" s="99"/>
      <c r="N48" s="99"/>
      <c r="O48" s="100">
        <v>200.0</v>
      </c>
      <c r="P48" s="101"/>
      <c r="Q48" s="101"/>
      <c r="R48" s="105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 ht="14.25" customHeight="1">
      <c r="A49" s="87"/>
      <c r="B49" s="88">
        <v>5.0</v>
      </c>
      <c r="C49" s="103">
        <v>45993.0</v>
      </c>
      <c r="D49" s="96"/>
      <c r="E49" s="96"/>
      <c r="F49" s="96"/>
      <c r="G49" s="106"/>
      <c r="H49" s="106" t="s">
        <v>130</v>
      </c>
      <c r="I49" s="107"/>
      <c r="J49" s="90" t="s">
        <v>131</v>
      </c>
      <c r="K49" s="90"/>
      <c r="L49" s="98" t="s">
        <v>84</v>
      </c>
      <c r="M49" s="99"/>
      <c r="N49" s="99"/>
      <c r="O49" s="100">
        <v>560.0</v>
      </c>
      <c r="P49" s="101"/>
      <c r="Q49" s="101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 ht="14.25" customHeight="1">
      <c r="A50" s="87"/>
      <c r="B50" s="88">
        <v>6.0</v>
      </c>
      <c r="C50" s="103">
        <v>45995.0</v>
      </c>
      <c r="D50" s="96"/>
      <c r="E50" s="96"/>
      <c r="F50" s="96"/>
      <c r="G50" s="108"/>
      <c r="H50" s="108" t="s">
        <v>47</v>
      </c>
      <c r="I50" s="108" t="s">
        <v>47</v>
      </c>
      <c r="J50" s="90" t="s">
        <v>132</v>
      </c>
      <c r="K50" s="90"/>
      <c r="L50" s="98" t="s">
        <v>49</v>
      </c>
      <c r="M50" s="99"/>
      <c r="N50" s="99"/>
      <c r="O50" s="100">
        <v>297.0</v>
      </c>
      <c r="P50" s="101"/>
      <c r="Q50" s="101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 ht="14.25" customHeight="1">
      <c r="A51" s="87"/>
      <c r="B51" s="88">
        <v>7.0</v>
      </c>
      <c r="C51" s="103">
        <v>45995.0</v>
      </c>
      <c r="D51" s="96"/>
      <c r="E51" s="96"/>
      <c r="F51" s="96"/>
      <c r="G51" s="108"/>
      <c r="H51" s="108" t="s">
        <v>47</v>
      </c>
      <c r="I51" s="108" t="s">
        <v>47</v>
      </c>
      <c r="J51" s="90" t="s">
        <v>133</v>
      </c>
      <c r="K51" s="90"/>
      <c r="L51" s="98" t="s">
        <v>49</v>
      </c>
      <c r="M51" s="99"/>
      <c r="N51" s="99"/>
      <c r="O51" s="109">
        <v>-37.0</v>
      </c>
      <c r="P51" s="110"/>
      <c r="Q51" s="110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 ht="14.25" customHeight="1">
      <c r="A52" s="87"/>
      <c r="B52" s="88">
        <v>8.0</v>
      </c>
      <c r="C52" s="103">
        <v>45995.0</v>
      </c>
      <c r="D52" s="96"/>
      <c r="E52" s="96"/>
      <c r="F52" s="96"/>
      <c r="G52" s="106"/>
      <c r="H52" s="106" t="s">
        <v>134</v>
      </c>
      <c r="I52" s="90" t="s">
        <v>135</v>
      </c>
      <c r="J52" s="90" t="s">
        <v>136</v>
      </c>
      <c r="K52" s="90"/>
      <c r="L52" s="98" t="s">
        <v>49</v>
      </c>
      <c r="M52" s="99"/>
      <c r="N52" s="99"/>
      <c r="O52" s="100">
        <v>297.0</v>
      </c>
      <c r="P52" s="101"/>
      <c r="Q52" s="101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 ht="14.25" customHeight="1">
      <c r="A53" s="87"/>
      <c r="B53" s="88">
        <v>9.0</v>
      </c>
      <c r="C53" s="103">
        <v>45995.0</v>
      </c>
      <c r="D53" s="96"/>
      <c r="E53" s="96"/>
      <c r="F53" s="96"/>
      <c r="G53" s="106"/>
      <c r="H53" s="106" t="s">
        <v>137</v>
      </c>
      <c r="I53" s="90" t="s">
        <v>138</v>
      </c>
      <c r="J53" s="90" t="s">
        <v>132</v>
      </c>
      <c r="K53" s="90"/>
      <c r="L53" s="98" t="s">
        <v>49</v>
      </c>
      <c r="M53" s="99"/>
      <c r="N53" s="99"/>
      <c r="O53" s="100">
        <v>297.0</v>
      </c>
      <c r="P53" s="101"/>
      <c r="Q53" s="101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 ht="14.25" customHeight="1">
      <c r="A54" s="87"/>
      <c r="B54" s="88">
        <v>10.0</v>
      </c>
      <c r="C54" s="103">
        <v>45995.0</v>
      </c>
      <c r="D54" s="96"/>
      <c r="E54" s="96"/>
      <c r="F54" s="96"/>
      <c r="G54" s="106"/>
      <c r="H54" s="106" t="s">
        <v>139</v>
      </c>
      <c r="I54" s="90" t="s">
        <v>140</v>
      </c>
      <c r="J54" s="90" t="s">
        <v>132</v>
      </c>
      <c r="K54" s="90"/>
      <c r="L54" s="98" t="s">
        <v>49</v>
      </c>
      <c r="M54" s="99"/>
      <c r="N54" s="99"/>
      <c r="O54" s="100">
        <v>252.0</v>
      </c>
      <c r="P54" s="101"/>
      <c r="Q54" s="101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 ht="14.25" customHeight="1">
      <c r="A55" s="87"/>
      <c r="B55" s="88">
        <v>11.0</v>
      </c>
      <c r="C55" s="103">
        <v>45995.0</v>
      </c>
      <c r="D55" s="96"/>
      <c r="E55" s="96"/>
      <c r="F55" s="96"/>
      <c r="G55" s="90"/>
      <c r="H55" s="90" t="s">
        <v>141</v>
      </c>
      <c r="I55" s="90" t="s">
        <v>142</v>
      </c>
      <c r="J55" s="90" t="s">
        <v>132</v>
      </c>
      <c r="K55" s="90"/>
      <c r="L55" s="98" t="s">
        <v>49</v>
      </c>
      <c r="M55" s="99"/>
      <c r="N55" s="99"/>
      <c r="O55" s="100">
        <v>297.0</v>
      </c>
      <c r="P55" s="101"/>
      <c r="Q55" s="101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 ht="14.25" customHeight="1">
      <c r="A56" s="87"/>
      <c r="B56" s="88">
        <v>12.0</v>
      </c>
      <c r="C56" s="103">
        <v>45997.0</v>
      </c>
      <c r="D56" s="96"/>
      <c r="E56" s="96"/>
      <c r="F56" s="96"/>
      <c r="G56" s="90"/>
      <c r="H56" s="90" t="s">
        <v>143</v>
      </c>
      <c r="I56" s="90" t="s">
        <v>144</v>
      </c>
      <c r="J56" s="90" t="s">
        <v>145</v>
      </c>
      <c r="K56" s="90"/>
      <c r="L56" s="98" t="s">
        <v>49</v>
      </c>
      <c r="M56" s="99"/>
      <c r="N56" s="99"/>
      <c r="O56" s="100">
        <f>891+30+67</f>
        <v>988</v>
      </c>
      <c r="P56" s="101"/>
      <c r="Q56" s="101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 ht="14.25" customHeight="1">
      <c r="A57" s="87"/>
      <c r="B57" s="88">
        <v>13.0</v>
      </c>
      <c r="C57" s="103">
        <v>45997.0</v>
      </c>
      <c r="D57" s="96"/>
      <c r="E57" s="96"/>
      <c r="F57" s="96"/>
      <c r="G57" s="90"/>
      <c r="H57" s="90" t="s">
        <v>143</v>
      </c>
      <c r="I57" s="90" t="s">
        <v>144</v>
      </c>
      <c r="J57" s="23"/>
      <c r="K57" s="23"/>
      <c r="L57" s="98" t="s">
        <v>49</v>
      </c>
      <c r="M57" s="99"/>
      <c r="N57" s="99"/>
      <c r="O57" s="109">
        <v>-106.8</v>
      </c>
      <c r="P57" s="110"/>
      <c r="Q57" s="110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 ht="14.25" customHeight="1">
      <c r="A58" s="87"/>
      <c r="B58" s="88">
        <v>14.0</v>
      </c>
      <c r="C58" s="103">
        <v>45997.0</v>
      </c>
      <c r="D58" s="96"/>
      <c r="E58" s="96"/>
      <c r="F58" s="96"/>
      <c r="G58" s="90"/>
      <c r="H58" s="90" t="s">
        <v>146</v>
      </c>
      <c r="I58" s="90" t="s">
        <v>147</v>
      </c>
      <c r="J58" s="90" t="s">
        <v>132</v>
      </c>
      <c r="K58" s="90"/>
      <c r="L58" s="98" t="s">
        <v>49</v>
      </c>
      <c r="M58" s="99"/>
      <c r="N58" s="99"/>
      <c r="O58" s="100">
        <v>252.0</v>
      </c>
      <c r="P58" s="101"/>
      <c r="Q58" s="101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 ht="14.25" customHeight="1">
      <c r="A59" s="87"/>
      <c r="B59" s="88">
        <v>15.0</v>
      </c>
      <c r="C59" s="103">
        <v>45997.0</v>
      </c>
      <c r="D59" s="96"/>
      <c r="E59" s="96"/>
      <c r="F59" s="96"/>
      <c r="G59" s="90"/>
      <c r="H59" s="90" t="s">
        <v>120</v>
      </c>
      <c r="I59" s="90" t="s">
        <v>121</v>
      </c>
      <c r="J59" s="90" t="s">
        <v>132</v>
      </c>
      <c r="K59" s="90"/>
      <c r="L59" s="98" t="s">
        <v>49</v>
      </c>
      <c r="M59" s="99"/>
      <c r="N59" s="99"/>
      <c r="O59" s="100">
        <v>297.0</v>
      </c>
      <c r="P59" s="101"/>
      <c r="Q59" s="101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 ht="14.25" customHeight="1">
      <c r="A60" s="87"/>
      <c r="B60" s="88">
        <v>16.0</v>
      </c>
      <c r="C60" s="103">
        <v>45999.0</v>
      </c>
      <c r="D60" s="96"/>
      <c r="E60" s="96"/>
      <c r="F60" s="96"/>
      <c r="G60" s="90"/>
      <c r="H60" s="90" t="s">
        <v>148</v>
      </c>
      <c r="I60" s="90" t="s">
        <v>149</v>
      </c>
      <c r="J60" s="90" t="s">
        <v>150</v>
      </c>
      <c r="K60" s="90"/>
      <c r="L60" s="98" t="s">
        <v>49</v>
      </c>
      <c r="M60" s="99"/>
      <c r="N60" s="99"/>
      <c r="O60" s="100">
        <v>97.0</v>
      </c>
      <c r="P60" s="101"/>
      <c r="Q60" s="101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 ht="14.25" customHeight="1">
      <c r="A61" s="87"/>
      <c r="B61" s="88">
        <v>17.0</v>
      </c>
      <c r="C61" s="103">
        <v>46001.0</v>
      </c>
      <c r="D61" s="96"/>
      <c r="E61" s="96"/>
      <c r="F61" s="96"/>
      <c r="G61" s="111"/>
      <c r="H61" s="111" t="s">
        <v>123</v>
      </c>
      <c r="I61" s="90" t="s">
        <v>151</v>
      </c>
      <c r="J61" s="90" t="s">
        <v>152</v>
      </c>
      <c r="K61" s="90"/>
      <c r="L61" s="98" t="s">
        <v>49</v>
      </c>
      <c r="M61" s="99"/>
      <c r="N61" s="99"/>
      <c r="O61" s="100">
        <v>500.0</v>
      </c>
      <c r="P61" s="101"/>
      <c r="Q61" s="101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 ht="14.25" customHeight="1">
      <c r="A62" s="87"/>
      <c r="B62" s="88">
        <v>18.0</v>
      </c>
      <c r="C62" s="112">
        <v>46001.0</v>
      </c>
      <c r="D62" s="113"/>
      <c r="E62" s="113"/>
      <c r="F62" s="113"/>
      <c r="G62" s="114"/>
      <c r="H62" s="114" t="s">
        <v>153</v>
      </c>
      <c r="I62" s="114" t="s">
        <v>153</v>
      </c>
      <c r="J62" s="114" t="s">
        <v>154</v>
      </c>
      <c r="K62" s="114"/>
      <c r="L62" s="115" t="s">
        <v>84</v>
      </c>
      <c r="M62" s="116"/>
      <c r="N62" s="116"/>
      <c r="O62" s="117">
        <v>30.0</v>
      </c>
      <c r="P62" s="118"/>
      <c r="Q62" s="118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</row>
    <row r="63" ht="14.25" customHeight="1">
      <c r="A63" s="87"/>
      <c r="B63" s="88">
        <v>19.0</v>
      </c>
      <c r="C63" s="103">
        <v>46002.0</v>
      </c>
      <c r="D63" s="96"/>
      <c r="E63" s="96"/>
      <c r="F63" s="96"/>
      <c r="G63" s="90"/>
      <c r="H63" s="90" t="s">
        <v>155</v>
      </c>
      <c r="I63" s="90" t="s">
        <v>156</v>
      </c>
      <c r="J63" s="90" t="s">
        <v>132</v>
      </c>
      <c r="K63" s="90"/>
      <c r="L63" s="98" t="s">
        <v>49</v>
      </c>
      <c r="M63" s="99"/>
      <c r="N63" s="99"/>
      <c r="O63" s="100">
        <v>297.0</v>
      </c>
      <c r="P63" s="101"/>
      <c r="Q63" s="101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 ht="14.25" customHeight="1">
      <c r="A64" s="87"/>
      <c r="B64" s="88">
        <v>20.0</v>
      </c>
      <c r="C64" s="103">
        <v>46002.0</v>
      </c>
      <c r="D64" s="96"/>
      <c r="E64" s="96"/>
      <c r="F64" s="96"/>
      <c r="G64" s="90"/>
      <c r="H64" s="90" t="s">
        <v>157</v>
      </c>
      <c r="I64" s="90" t="s">
        <v>157</v>
      </c>
      <c r="J64" s="90" t="s">
        <v>132</v>
      </c>
      <c r="K64" s="90"/>
      <c r="L64" s="98" t="s">
        <v>49</v>
      </c>
      <c r="M64" s="99"/>
      <c r="N64" s="99"/>
      <c r="O64" s="100">
        <v>200.0</v>
      </c>
      <c r="P64" s="101"/>
      <c r="Q64" s="101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 ht="14.25" customHeight="1">
      <c r="A65" s="87"/>
      <c r="B65" s="88">
        <v>21.0</v>
      </c>
      <c r="C65" s="103">
        <v>46002.0</v>
      </c>
      <c r="D65" s="96"/>
      <c r="E65" s="96"/>
      <c r="F65" s="96"/>
      <c r="G65" s="90"/>
      <c r="H65" s="90" t="s">
        <v>158</v>
      </c>
      <c r="I65" s="90" t="s">
        <v>159</v>
      </c>
      <c r="J65" s="90" t="s">
        <v>160</v>
      </c>
      <c r="K65" s="90"/>
      <c r="L65" s="98" t="s">
        <v>49</v>
      </c>
      <c r="M65" s="99"/>
      <c r="N65" s="99"/>
      <c r="O65" s="100">
        <v>52.0</v>
      </c>
      <c r="P65" s="101"/>
      <c r="Q65" s="101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 ht="14.25" customHeight="1">
      <c r="A66" s="87"/>
      <c r="B66" s="88">
        <v>22.0</v>
      </c>
      <c r="C66" s="103">
        <v>46003.0</v>
      </c>
      <c r="D66" s="96"/>
      <c r="E66" s="96"/>
      <c r="F66" s="96"/>
      <c r="G66" s="90"/>
      <c r="H66" s="90" t="s">
        <v>161</v>
      </c>
      <c r="I66" s="90" t="s">
        <v>162</v>
      </c>
      <c r="J66" s="90" t="s">
        <v>59</v>
      </c>
      <c r="K66" s="90"/>
      <c r="L66" s="98" t="s">
        <v>49</v>
      </c>
      <c r="M66" s="99"/>
      <c r="N66" s="99"/>
      <c r="O66" s="100">
        <v>120.0</v>
      </c>
      <c r="P66" s="101"/>
      <c r="Q66" s="101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 ht="14.25" customHeight="1">
      <c r="A67" s="87"/>
      <c r="B67" s="88">
        <v>23.0</v>
      </c>
      <c r="C67" s="103">
        <v>46003.0</v>
      </c>
      <c r="D67" s="96"/>
      <c r="E67" s="96"/>
      <c r="F67" s="96"/>
      <c r="G67" s="90"/>
      <c r="H67" s="90" t="s">
        <v>161</v>
      </c>
      <c r="I67" s="90" t="s">
        <v>162</v>
      </c>
      <c r="J67" s="90" t="s">
        <v>163</v>
      </c>
      <c r="K67" s="90"/>
      <c r="L67" s="98" t="s">
        <v>49</v>
      </c>
      <c r="M67" s="99"/>
      <c r="N67" s="99"/>
      <c r="O67" s="100">
        <v>-90.0</v>
      </c>
      <c r="P67" s="101"/>
      <c r="Q67" s="101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 ht="14.25" customHeight="1">
      <c r="A68" s="87"/>
      <c r="B68" s="88">
        <v>24.0</v>
      </c>
      <c r="C68" s="103">
        <v>46004.0</v>
      </c>
      <c r="D68" s="96"/>
      <c r="E68" s="96"/>
      <c r="F68" s="96"/>
      <c r="G68" s="90"/>
      <c r="H68" s="90" t="s">
        <v>161</v>
      </c>
      <c r="I68" s="90" t="s">
        <v>162</v>
      </c>
      <c r="J68" s="90" t="s">
        <v>164</v>
      </c>
      <c r="K68" s="90"/>
      <c r="L68" s="98" t="s">
        <v>49</v>
      </c>
      <c r="M68" s="99"/>
      <c r="N68" s="99"/>
      <c r="O68" s="100">
        <v>67.0</v>
      </c>
      <c r="P68" s="101"/>
      <c r="Q68" s="101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 ht="14.25" customHeight="1">
      <c r="A69" s="87"/>
      <c r="B69" s="88">
        <v>25.0</v>
      </c>
      <c r="C69" s="103">
        <v>46004.0</v>
      </c>
      <c r="D69" s="96"/>
      <c r="E69" s="96"/>
      <c r="F69" s="96"/>
      <c r="G69" s="90"/>
      <c r="H69" s="90" t="s">
        <v>165</v>
      </c>
      <c r="I69" s="90" t="s">
        <v>166</v>
      </c>
      <c r="J69" s="90" t="s">
        <v>167</v>
      </c>
      <c r="K69" s="90"/>
      <c r="L69" s="98" t="s">
        <v>49</v>
      </c>
      <c r="M69" s="99"/>
      <c r="N69" s="99"/>
      <c r="O69" s="100">
        <f>120+67+297</f>
        <v>484</v>
      </c>
      <c r="P69" s="101"/>
      <c r="Q69" s="101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 ht="14.25" customHeight="1">
      <c r="A70" s="87"/>
      <c r="B70" s="88">
        <v>26.0</v>
      </c>
      <c r="C70" s="103">
        <v>46004.0</v>
      </c>
      <c r="D70" s="96"/>
      <c r="E70" s="96"/>
      <c r="F70" s="96"/>
      <c r="G70" s="90"/>
      <c r="H70" s="90" t="s">
        <v>165</v>
      </c>
      <c r="I70" s="90" t="s">
        <v>166</v>
      </c>
      <c r="J70" s="90" t="s">
        <v>167</v>
      </c>
      <c r="K70" s="90"/>
      <c r="L70" s="98" t="s">
        <v>49</v>
      </c>
      <c r="M70" s="99"/>
      <c r="N70" s="99"/>
      <c r="O70" s="109">
        <f>-90-36</f>
        <v>-126</v>
      </c>
      <c r="P70" s="110"/>
      <c r="Q70" s="110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 ht="14.25" customHeight="1">
      <c r="A71" s="87"/>
      <c r="B71" s="88">
        <v>27.0</v>
      </c>
      <c r="C71" s="103">
        <v>46004.0</v>
      </c>
      <c r="D71" s="96"/>
      <c r="E71" s="96"/>
      <c r="F71" s="96"/>
      <c r="G71" s="90"/>
      <c r="H71" s="90" t="s">
        <v>165</v>
      </c>
      <c r="I71" s="90" t="s">
        <v>165</v>
      </c>
      <c r="J71" s="90" t="s">
        <v>167</v>
      </c>
      <c r="K71" s="90"/>
      <c r="L71" s="98" t="s">
        <v>49</v>
      </c>
      <c r="M71" s="99"/>
      <c r="N71" s="99"/>
      <c r="O71" s="100">
        <f>120+42</f>
        <v>162</v>
      </c>
      <c r="P71" s="101"/>
      <c r="Q71" s="101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 ht="14.25" customHeight="1">
      <c r="A72" s="87"/>
      <c r="B72" s="88">
        <v>28.0</v>
      </c>
      <c r="C72" s="103">
        <v>46004.0</v>
      </c>
      <c r="D72" s="96"/>
      <c r="E72" s="96"/>
      <c r="F72" s="96"/>
      <c r="G72" s="90"/>
      <c r="H72" s="90" t="s">
        <v>165</v>
      </c>
      <c r="I72" s="90" t="s">
        <v>165</v>
      </c>
      <c r="J72" s="90" t="s">
        <v>167</v>
      </c>
      <c r="K72" s="90"/>
      <c r="L72" s="98" t="s">
        <v>49</v>
      </c>
      <c r="M72" s="99"/>
      <c r="N72" s="99"/>
      <c r="O72" s="109">
        <v>-120.0</v>
      </c>
      <c r="P72" s="110"/>
      <c r="Q72" s="110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87"/>
      <c r="B73" s="88">
        <v>29.0</v>
      </c>
      <c r="C73" s="103">
        <v>46004.0</v>
      </c>
      <c r="D73" s="96"/>
      <c r="E73" s="96"/>
      <c r="F73" s="96"/>
      <c r="G73" s="90"/>
      <c r="H73" s="90" t="s">
        <v>168</v>
      </c>
      <c r="I73" s="90" t="s">
        <v>169</v>
      </c>
      <c r="J73" s="90" t="s">
        <v>170</v>
      </c>
      <c r="K73" s="90"/>
      <c r="L73" s="98" t="s">
        <v>49</v>
      </c>
      <c r="M73" s="99"/>
      <c r="N73" s="99"/>
      <c r="O73" s="100">
        <v>297.0</v>
      </c>
      <c r="P73" s="101"/>
      <c r="Q73" s="101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87"/>
      <c r="B74" s="88">
        <v>30.0</v>
      </c>
      <c r="C74" s="103">
        <v>46004.0</v>
      </c>
      <c r="D74" s="90">
        <v>3.0</v>
      </c>
      <c r="E74" s="90" t="s">
        <v>67</v>
      </c>
      <c r="F74" s="90">
        <v>11.0</v>
      </c>
      <c r="G74" s="90"/>
      <c r="H74" s="90" t="s">
        <v>171</v>
      </c>
      <c r="I74" s="90" t="s">
        <v>172</v>
      </c>
      <c r="J74" s="90" t="s">
        <v>167</v>
      </c>
      <c r="K74" s="90"/>
      <c r="L74" s="98" t="s">
        <v>49</v>
      </c>
      <c r="M74" s="99"/>
      <c r="N74" s="99"/>
      <c r="O74" s="100">
        <f>120+67+297</f>
        <v>484</v>
      </c>
      <c r="P74" s="101"/>
      <c r="Q74" s="101"/>
      <c r="R74" s="120">
        <f t="shared" ref="R74:R75" si="5">O74</f>
        <v>484</v>
      </c>
      <c r="S74" s="105" t="s">
        <v>173</v>
      </c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87"/>
      <c r="B75" s="88">
        <v>31.0</v>
      </c>
      <c r="C75" s="103">
        <v>46004.0</v>
      </c>
      <c r="D75" s="90">
        <v>7.0</v>
      </c>
      <c r="E75" s="90" t="s">
        <v>67</v>
      </c>
      <c r="F75" s="90">
        <v>6.0</v>
      </c>
      <c r="G75" s="90"/>
      <c r="H75" s="90" t="s">
        <v>171</v>
      </c>
      <c r="I75" s="90" t="s">
        <v>172</v>
      </c>
      <c r="J75" s="90" t="s">
        <v>163</v>
      </c>
      <c r="K75" s="90"/>
      <c r="L75" s="98" t="s">
        <v>49</v>
      </c>
      <c r="M75" s="99"/>
      <c r="N75" s="99"/>
      <c r="O75" s="109">
        <v>-90.0</v>
      </c>
      <c r="P75" s="110"/>
      <c r="Q75" s="110"/>
      <c r="R75" s="120">
        <f t="shared" si="5"/>
        <v>-90</v>
      </c>
      <c r="S75" s="105" t="s">
        <v>173</v>
      </c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87"/>
      <c r="B76" s="88">
        <v>32.0</v>
      </c>
      <c r="C76" s="103">
        <v>46004.0</v>
      </c>
      <c r="D76" s="96"/>
      <c r="E76" s="96"/>
      <c r="F76" s="96"/>
      <c r="G76" s="90"/>
      <c r="H76" s="90" t="s">
        <v>146</v>
      </c>
      <c r="I76" s="90" t="s">
        <v>147</v>
      </c>
      <c r="J76" s="90" t="s">
        <v>48</v>
      </c>
      <c r="K76" s="90"/>
      <c r="L76" s="98" t="s">
        <v>49</v>
      </c>
      <c r="M76" s="99"/>
      <c r="N76" s="99"/>
      <c r="O76" s="100">
        <v>297.0</v>
      </c>
      <c r="P76" s="101"/>
      <c r="Q76" s="101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87"/>
      <c r="B77" s="88">
        <v>33.0</v>
      </c>
      <c r="C77" s="103">
        <v>46004.0</v>
      </c>
      <c r="D77" s="96"/>
      <c r="E77" s="96"/>
      <c r="F77" s="96"/>
      <c r="G77" s="90"/>
      <c r="H77" s="90" t="s">
        <v>153</v>
      </c>
      <c r="I77" s="90" t="s">
        <v>153</v>
      </c>
      <c r="J77" s="90" t="s">
        <v>174</v>
      </c>
      <c r="K77" s="90"/>
      <c r="L77" s="98" t="s">
        <v>84</v>
      </c>
      <c r="M77" s="99"/>
      <c r="N77" s="99"/>
      <c r="O77" s="100">
        <v>590.0</v>
      </c>
      <c r="P77" s="101"/>
      <c r="Q77" s="101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87"/>
      <c r="B78" s="88">
        <v>34.0</v>
      </c>
      <c r="C78" s="103">
        <v>46006.0</v>
      </c>
      <c r="D78" s="96"/>
      <c r="E78" s="96"/>
      <c r="F78" s="96"/>
      <c r="G78" s="90"/>
      <c r="H78" s="90" t="s">
        <v>91</v>
      </c>
      <c r="I78" s="90" t="s">
        <v>92</v>
      </c>
      <c r="J78" s="90" t="s">
        <v>175</v>
      </c>
      <c r="K78" s="90"/>
      <c r="L78" s="98" t="s">
        <v>49</v>
      </c>
      <c r="M78" s="99"/>
      <c r="N78" s="99"/>
      <c r="O78" s="100">
        <v>150.0</v>
      </c>
      <c r="P78" s="101"/>
      <c r="Q78" s="101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 ht="14.25" customHeight="1">
      <c r="A79" s="87"/>
      <c r="B79" s="88">
        <v>35.0</v>
      </c>
      <c r="C79" s="103">
        <v>46006.0</v>
      </c>
      <c r="D79" s="96"/>
      <c r="E79" s="96"/>
      <c r="F79" s="96"/>
      <c r="G79" s="90"/>
      <c r="H79" s="90" t="s">
        <v>165</v>
      </c>
      <c r="I79" s="90" t="s">
        <v>165</v>
      </c>
      <c r="J79" s="90" t="s">
        <v>176</v>
      </c>
      <c r="K79" s="90"/>
      <c r="L79" s="98" t="s">
        <v>49</v>
      </c>
      <c r="M79" s="99"/>
      <c r="N79" s="99"/>
      <c r="O79" s="100">
        <v>286.0</v>
      </c>
      <c r="P79" s="101"/>
      <c r="Q79" s="101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87"/>
      <c r="B80" s="88">
        <v>36.0</v>
      </c>
      <c r="C80" s="103">
        <v>46006.0</v>
      </c>
      <c r="D80" s="96"/>
      <c r="E80" s="96"/>
      <c r="F80" s="96"/>
      <c r="G80" s="90"/>
      <c r="H80" s="90" t="s">
        <v>177</v>
      </c>
      <c r="I80" s="90" t="s">
        <v>177</v>
      </c>
      <c r="J80" s="90" t="s">
        <v>178</v>
      </c>
      <c r="K80" s="90"/>
      <c r="L80" s="98" t="s">
        <v>84</v>
      </c>
      <c r="M80" s="99"/>
      <c r="N80" s="99"/>
      <c r="O80" s="100">
        <v>45.0</v>
      </c>
      <c r="P80" s="101"/>
      <c r="Q80" s="101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87"/>
      <c r="B81" s="88">
        <v>37.0</v>
      </c>
      <c r="C81" s="103">
        <v>46007.0</v>
      </c>
      <c r="D81" s="96"/>
      <c r="E81" s="96"/>
      <c r="F81" s="96"/>
      <c r="G81" s="90"/>
      <c r="H81" s="90" t="s">
        <v>179</v>
      </c>
      <c r="I81" s="90" t="s">
        <v>180</v>
      </c>
      <c r="J81" s="90" t="s">
        <v>167</v>
      </c>
      <c r="K81" s="90"/>
      <c r="L81" s="98" t="s">
        <v>49</v>
      </c>
      <c r="M81" s="99"/>
      <c r="N81" s="99"/>
      <c r="O81" s="100">
        <f>120+67+297</f>
        <v>484</v>
      </c>
      <c r="P81" s="101"/>
      <c r="Q81" s="101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87"/>
      <c r="B82" s="88">
        <v>38.0</v>
      </c>
      <c r="C82" s="103">
        <v>46007.0</v>
      </c>
      <c r="D82" s="96"/>
      <c r="E82" s="96"/>
      <c r="F82" s="96"/>
      <c r="G82" s="90"/>
      <c r="H82" s="90" t="s">
        <v>179</v>
      </c>
      <c r="I82" s="90" t="s">
        <v>180</v>
      </c>
      <c r="J82" s="90" t="s">
        <v>163</v>
      </c>
      <c r="K82" s="90"/>
      <c r="L82" s="98" t="s">
        <v>49</v>
      </c>
      <c r="M82" s="99"/>
      <c r="N82" s="99"/>
      <c r="O82" s="109">
        <v>-90.0</v>
      </c>
      <c r="P82" s="110"/>
      <c r="Q82" s="110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87"/>
      <c r="B83" s="88">
        <v>39.0</v>
      </c>
      <c r="C83" s="103">
        <v>46007.0</v>
      </c>
      <c r="D83" s="96"/>
      <c r="E83" s="96"/>
      <c r="F83" s="96"/>
      <c r="G83" s="90"/>
      <c r="H83" s="90" t="s">
        <v>181</v>
      </c>
      <c r="I83" s="90" t="s">
        <v>182</v>
      </c>
      <c r="J83" s="90" t="s">
        <v>167</v>
      </c>
      <c r="K83" s="90"/>
      <c r="L83" s="98" t="s">
        <v>49</v>
      </c>
      <c r="M83" s="99"/>
      <c r="N83" s="99"/>
      <c r="O83" s="100">
        <f>120+67+297</f>
        <v>484</v>
      </c>
      <c r="P83" s="101"/>
      <c r="Q83" s="101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87"/>
      <c r="B84" s="88">
        <v>40.0</v>
      </c>
      <c r="C84" s="103">
        <v>46007.0</v>
      </c>
      <c r="D84" s="96"/>
      <c r="E84" s="96"/>
      <c r="F84" s="96"/>
      <c r="G84" s="90"/>
      <c r="H84" s="90" t="s">
        <v>181</v>
      </c>
      <c r="I84" s="90" t="s">
        <v>182</v>
      </c>
      <c r="J84" s="90" t="s">
        <v>163</v>
      </c>
      <c r="K84" s="90"/>
      <c r="L84" s="98" t="s">
        <v>49</v>
      </c>
      <c r="M84" s="99"/>
      <c r="N84" s="99"/>
      <c r="O84" s="109">
        <v>-90.0</v>
      </c>
      <c r="P84" s="110"/>
      <c r="Q84" s="110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87"/>
      <c r="B85" s="88">
        <v>41.0</v>
      </c>
      <c r="C85" s="103">
        <v>46008.0</v>
      </c>
      <c r="D85" s="96"/>
      <c r="E85" s="96"/>
      <c r="F85" s="96"/>
      <c r="G85" s="90"/>
      <c r="H85" s="90" t="s">
        <v>165</v>
      </c>
      <c r="I85" s="90" t="s">
        <v>165</v>
      </c>
      <c r="J85" s="90" t="s">
        <v>183</v>
      </c>
      <c r="K85" s="90"/>
      <c r="L85" s="98" t="s">
        <v>84</v>
      </c>
      <c r="M85" s="99"/>
      <c r="N85" s="99"/>
      <c r="O85" s="100">
        <v>85.0</v>
      </c>
      <c r="P85" s="101"/>
      <c r="Q85" s="101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24"/>
      <c r="B86" s="34">
        <v>42.0</v>
      </c>
      <c r="C86" s="31">
        <v>46009.0</v>
      </c>
      <c r="D86" s="54"/>
      <c r="E86" s="54"/>
      <c r="F86" s="54"/>
      <c r="G86" s="36"/>
      <c r="H86" s="36" t="s">
        <v>184</v>
      </c>
      <c r="I86" s="36" t="s">
        <v>185</v>
      </c>
      <c r="J86" s="121" t="s">
        <v>167</v>
      </c>
      <c r="K86" s="121"/>
      <c r="L86" s="56" t="s">
        <v>49</v>
      </c>
      <c r="M86" s="63"/>
      <c r="N86" s="63"/>
      <c r="O86" s="40">
        <f>120+67+297</f>
        <v>484</v>
      </c>
      <c r="P86" s="58"/>
      <c r="Q86" s="58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24"/>
      <c r="B87" s="34">
        <v>42.0</v>
      </c>
      <c r="C87" s="31">
        <v>46009.0</v>
      </c>
      <c r="D87" s="54"/>
      <c r="E87" s="54"/>
      <c r="F87" s="54"/>
      <c r="G87" s="36"/>
      <c r="H87" s="36" t="s">
        <v>184</v>
      </c>
      <c r="I87" s="36" t="s">
        <v>185</v>
      </c>
      <c r="J87" s="121" t="s">
        <v>163</v>
      </c>
      <c r="K87" s="121"/>
      <c r="L87" s="56" t="s">
        <v>49</v>
      </c>
      <c r="M87" s="63"/>
      <c r="N87" s="63"/>
      <c r="O87" s="25">
        <v>-90.0</v>
      </c>
      <c r="P87" s="122"/>
      <c r="Q87" s="122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A88" s="87"/>
      <c r="B88" s="88">
        <v>43.0</v>
      </c>
      <c r="C88" s="123">
        <v>46009.0</v>
      </c>
      <c r="D88" s="78"/>
      <c r="E88" s="78"/>
      <c r="F88" s="78"/>
      <c r="G88" s="91"/>
      <c r="H88" s="91" t="s">
        <v>186</v>
      </c>
      <c r="I88" s="91" t="s">
        <v>162</v>
      </c>
      <c r="J88" s="90" t="s">
        <v>48</v>
      </c>
      <c r="K88" s="90"/>
      <c r="L88" s="92" t="s">
        <v>49</v>
      </c>
      <c r="M88" s="80"/>
      <c r="N88" s="80"/>
      <c r="O88" s="93">
        <v>297.0</v>
      </c>
      <c r="P88" s="94"/>
      <c r="Q88" s="94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</row>
    <row r="89">
      <c r="A89" s="24"/>
      <c r="B89" s="34">
        <v>44.0</v>
      </c>
      <c r="C89" s="31">
        <v>46010.0</v>
      </c>
      <c r="D89" s="54"/>
      <c r="E89" s="54"/>
      <c r="F89" s="54"/>
      <c r="G89" s="36"/>
      <c r="H89" s="36" t="s">
        <v>187</v>
      </c>
      <c r="I89" s="36" t="s">
        <v>188</v>
      </c>
      <c r="J89" s="121" t="s">
        <v>167</v>
      </c>
      <c r="K89" s="121"/>
      <c r="L89" s="56" t="s">
        <v>49</v>
      </c>
      <c r="M89" s="63"/>
      <c r="N89" s="63"/>
      <c r="O89" s="40">
        <f>120+67+297</f>
        <v>484</v>
      </c>
      <c r="P89" s="58"/>
      <c r="Q89" s="58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>
      <c r="A90" s="24"/>
      <c r="B90" s="34">
        <v>44.0</v>
      </c>
      <c r="C90" s="31">
        <v>46010.0</v>
      </c>
      <c r="D90" s="54"/>
      <c r="E90" s="54"/>
      <c r="F90" s="54"/>
      <c r="G90" s="36"/>
      <c r="H90" s="36" t="s">
        <v>187</v>
      </c>
      <c r="I90" s="36" t="s">
        <v>188</v>
      </c>
      <c r="J90" s="121" t="s">
        <v>163</v>
      </c>
      <c r="K90" s="121"/>
      <c r="L90" s="56" t="s">
        <v>49</v>
      </c>
      <c r="M90" s="63"/>
      <c r="N90" s="63"/>
      <c r="O90" s="25">
        <v>-90.0</v>
      </c>
      <c r="P90" s="122"/>
      <c r="Q90" s="122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>
      <c r="A91" s="24"/>
      <c r="B91" s="34">
        <v>45.0</v>
      </c>
      <c r="C91" s="31">
        <v>46011.0</v>
      </c>
      <c r="D91" s="54"/>
      <c r="E91" s="54"/>
      <c r="F91" s="54"/>
      <c r="G91" s="36"/>
      <c r="H91" s="36" t="s">
        <v>189</v>
      </c>
      <c r="I91" s="36" t="s">
        <v>190</v>
      </c>
      <c r="J91" s="121" t="s">
        <v>48</v>
      </c>
      <c r="K91" s="121"/>
      <c r="L91" s="56" t="s">
        <v>49</v>
      </c>
      <c r="M91" s="63"/>
      <c r="N91" s="63"/>
      <c r="O91" s="40">
        <v>330.0</v>
      </c>
      <c r="P91" s="58"/>
      <c r="Q91" s="58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>
      <c r="A92" s="24"/>
      <c r="B92" s="34">
        <v>46.0</v>
      </c>
      <c r="C92" s="31">
        <v>46011.0</v>
      </c>
      <c r="D92" s="54"/>
      <c r="E92" s="54"/>
      <c r="F92" s="54"/>
      <c r="G92" s="36"/>
      <c r="H92" s="36" t="s">
        <v>189</v>
      </c>
      <c r="I92" s="36" t="s">
        <v>190</v>
      </c>
      <c r="J92" s="36" t="s">
        <v>191</v>
      </c>
      <c r="K92" s="36"/>
      <c r="L92" s="56" t="s">
        <v>49</v>
      </c>
      <c r="M92" s="63"/>
      <c r="N92" s="63"/>
      <c r="O92" s="25">
        <v>-50.0</v>
      </c>
      <c r="P92" s="122"/>
      <c r="Q92" s="122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24"/>
      <c r="B93" s="34">
        <v>47.0</v>
      </c>
      <c r="C93" s="31">
        <v>46013.0</v>
      </c>
      <c r="D93" s="54"/>
      <c r="E93" s="54"/>
      <c r="F93" s="54"/>
      <c r="G93" s="36"/>
      <c r="H93" s="36" t="s">
        <v>94</v>
      </c>
      <c r="I93" s="36" t="s">
        <v>94</v>
      </c>
      <c r="J93" s="36" t="s">
        <v>192</v>
      </c>
      <c r="K93" s="36"/>
      <c r="L93" s="56" t="s">
        <v>84</v>
      </c>
      <c r="M93" s="63"/>
      <c r="N93" s="63"/>
      <c r="O93" s="40">
        <v>45.0</v>
      </c>
      <c r="P93" s="58"/>
      <c r="Q93" s="58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24"/>
      <c r="B94" s="34">
        <v>48.0</v>
      </c>
      <c r="C94" s="31">
        <v>46013.0</v>
      </c>
      <c r="D94" s="54"/>
      <c r="E94" s="54"/>
      <c r="F94" s="54"/>
      <c r="G94" s="36"/>
      <c r="H94" s="36" t="s">
        <v>193</v>
      </c>
      <c r="I94" s="36" t="s">
        <v>194</v>
      </c>
      <c r="J94" s="121" t="s">
        <v>195</v>
      </c>
      <c r="K94" s="121"/>
      <c r="L94" s="56" t="s">
        <v>49</v>
      </c>
      <c r="M94" s="63"/>
      <c r="N94" s="63"/>
      <c r="O94" s="40">
        <f>120+67+50+297+297</f>
        <v>831</v>
      </c>
      <c r="P94" s="58"/>
      <c r="Q94" s="58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24"/>
      <c r="B95" s="34">
        <v>48.0</v>
      </c>
      <c r="C95" s="31">
        <v>46013.0</v>
      </c>
      <c r="D95" s="54"/>
      <c r="E95" s="54"/>
      <c r="F95" s="54"/>
      <c r="G95" s="36"/>
      <c r="H95" s="36" t="s">
        <v>193</v>
      </c>
      <c r="I95" s="36" t="s">
        <v>194</v>
      </c>
      <c r="J95" s="121" t="s">
        <v>196</v>
      </c>
      <c r="K95" s="121"/>
      <c r="L95" s="56" t="s">
        <v>49</v>
      </c>
      <c r="M95" s="63"/>
      <c r="N95" s="63"/>
      <c r="O95" s="25">
        <v>-162.0</v>
      </c>
      <c r="P95" s="122"/>
      <c r="Q95" s="122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24"/>
      <c r="B96" s="34">
        <v>49.0</v>
      </c>
      <c r="C96" s="31">
        <v>46013.0</v>
      </c>
      <c r="D96" s="54"/>
      <c r="E96" s="54"/>
      <c r="F96" s="54"/>
      <c r="G96" s="36"/>
      <c r="H96" s="36" t="s">
        <v>97</v>
      </c>
      <c r="I96" s="36" t="s">
        <v>98</v>
      </c>
      <c r="J96" s="121" t="s">
        <v>48</v>
      </c>
      <c r="K96" s="121"/>
      <c r="L96" s="56" t="s">
        <v>49</v>
      </c>
      <c r="M96" s="63"/>
      <c r="N96" s="63"/>
      <c r="O96" s="40">
        <v>200.0</v>
      </c>
      <c r="P96" s="58"/>
      <c r="Q96" s="58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24"/>
      <c r="B97" s="34">
        <v>50.0</v>
      </c>
      <c r="C97" s="31">
        <v>46014.0</v>
      </c>
      <c r="D97" s="34">
        <v>3.0</v>
      </c>
      <c r="E97" s="34" t="s">
        <v>67</v>
      </c>
      <c r="F97" s="34">
        <v>13.0</v>
      </c>
      <c r="G97" s="36"/>
      <c r="H97" s="36" t="s">
        <v>197</v>
      </c>
      <c r="I97" s="36" t="s">
        <v>198</v>
      </c>
      <c r="J97" s="121" t="s">
        <v>48</v>
      </c>
      <c r="K97" s="121"/>
      <c r="L97" s="56" t="s">
        <v>49</v>
      </c>
      <c r="M97" s="63"/>
      <c r="N97" s="63"/>
      <c r="O97" s="40">
        <v>252.0</v>
      </c>
      <c r="P97" s="58"/>
      <c r="Q97" s="58"/>
      <c r="R97" s="71">
        <f t="shared" ref="R97:R98" si="6">O97</f>
        <v>252</v>
      </c>
      <c r="S97" s="60" t="s">
        <v>173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24"/>
      <c r="B98" s="34">
        <v>51.0</v>
      </c>
      <c r="C98" s="31">
        <v>46014.0</v>
      </c>
      <c r="D98" s="34">
        <v>7.0</v>
      </c>
      <c r="E98" s="34" t="s">
        <v>67</v>
      </c>
      <c r="F98" s="34">
        <v>8.0</v>
      </c>
      <c r="G98" s="36"/>
      <c r="H98" s="36" t="s">
        <v>197</v>
      </c>
      <c r="I98" s="36" t="s">
        <v>198</v>
      </c>
      <c r="J98" s="36" t="s">
        <v>191</v>
      </c>
      <c r="K98" s="36"/>
      <c r="L98" s="56" t="s">
        <v>49</v>
      </c>
      <c r="M98" s="63"/>
      <c r="N98" s="63"/>
      <c r="O98" s="25">
        <v>-38.0</v>
      </c>
      <c r="P98" s="122"/>
      <c r="Q98" s="122"/>
      <c r="R98" s="71">
        <f t="shared" si="6"/>
        <v>-38</v>
      </c>
      <c r="S98" s="60" t="s">
        <v>173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124"/>
      <c r="B99" s="18">
        <v>52.0</v>
      </c>
      <c r="C99" s="125">
        <v>46015.0</v>
      </c>
      <c r="D99" s="126"/>
      <c r="E99" s="126"/>
      <c r="F99" s="126"/>
      <c r="G99" s="19"/>
      <c r="H99" s="19" t="s">
        <v>199</v>
      </c>
      <c r="I99" s="19" t="s">
        <v>199</v>
      </c>
      <c r="J99" s="19" t="s">
        <v>200</v>
      </c>
      <c r="K99" s="19"/>
      <c r="L99" s="127" t="s">
        <v>84</v>
      </c>
      <c r="M99" s="128"/>
      <c r="N99" s="128"/>
      <c r="O99" s="25">
        <v>38.0</v>
      </c>
      <c r="P99" s="122"/>
      <c r="Q99" s="122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</row>
    <row r="100">
      <c r="A100" s="24"/>
      <c r="B100" s="34">
        <v>53.0</v>
      </c>
      <c r="C100" s="31">
        <v>46015.0</v>
      </c>
      <c r="D100" s="54"/>
      <c r="E100" s="54"/>
      <c r="F100" s="54"/>
      <c r="G100" s="36"/>
      <c r="H100" s="36" t="s">
        <v>201</v>
      </c>
      <c r="I100" s="36" t="s">
        <v>202</v>
      </c>
      <c r="J100" s="36" t="s">
        <v>203</v>
      </c>
      <c r="K100" s="36"/>
      <c r="L100" s="56" t="s">
        <v>84</v>
      </c>
      <c r="M100" s="63"/>
      <c r="N100" s="63"/>
      <c r="O100" s="40">
        <v>30.0</v>
      </c>
      <c r="P100" s="58"/>
      <c r="Q100" s="58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130"/>
      <c r="B101" s="131"/>
      <c r="C101" s="132">
        <v>46015.0</v>
      </c>
      <c r="D101" s="131">
        <v>3.0</v>
      </c>
      <c r="E101" s="131" t="s">
        <v>67</v>
      </c>
      <c r="F101" s="131">
        <v>14.0</v>
      </c>
      <c r="G101" s="72"/>
      <c r="H101" s="72" t="s">
        <v>148</v>
      </c>
      <c r="I101" s="133" t="s">
        <v>149</v>
      </c>
      <c r="J101" s="114" t="s">
        <v>48</v>
      </c>
      <c r="K101" s="114"/>
      <c r="L101" s="134" t="s">
        <v>49</v>
      </c>
      <c r="M101" s="135"/>
      <c r="N101" s="135"/>
      <c r="O101" s="136">
        <v>297.0</v>
      </c>
      <c r="P101" s="137"/>
      <c r="Q101" s="137"/>
      <c r="R101" s="138">
        <f t="shared" ref="R101:R106" si="7">O101</f>
        <v>297</v>
      </c>
      <c r="S101" s="139" t="s">
        <v>173</v>
      </c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</row>
    <row r="102">
      <c r="A102" s="24"/>
      <c r="B102" s="34">
        <v>54.0</v>
      </c>
      <c r="C102" s="31">
        <v>46017.0</v>
      </c>
      <c r="D102" s="34">
        <v>3.0</v>
      </c>
      <c r="E102" s="34" t="s">
        <v>67</v>
      </c>
      <c r="F102" s="34">
        <v>12.0</v>
      </c>
      <c r="G102" s="36"/>
      <c r="H102" s="36" t="s">
        <v>204</v>
      </c>
      <c r="I102" s="36" t="s">
        <v>205</v>
      </c>
      <c r="J102" s="121" t="s">
        <v>206</v>
      </c>
      <c r="K102" s="121"/>
      <c r="L102" s="56" t="s">
        <v>49</v>
      </c>
      <c r="M102" s="63"/>
      <c r="N102" s="63"/>
      <c r="O102" s="40">
        <f>120+67+891</f>
        <v>1078</v>
      </c>
      <c r="P102" s="58"/>
      <c r="Q102" s="58"/>
      <c r="R102" s="71">
        <f t="shared" si="7"/>
        <v>1078</v>
      </c>
      <c r="S102" s="60" t="s">
        <v>173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24"/>
      <c r="B103" s="34">
        <v>54.0</v>
      </c>
      <c r="C103" s="31">
        <v>46017.0</v>
      </c>
      <c r="D103" s="34">
        <v>7.0</v>
      </c>
      <c r="E103" s="34" t="s">
        <v>67</v>
      </c>
      <c r="F103" s="34">
        <v>7.0</v>
      </c>
      <c r="G103" s="36"/>
      <c r="H103" s="36" t="s">
        <v>204</v>
      </c>
      <c r="I103" s="36" t="s">
        <v>205</v>
      </c>
      <c r="J103" s="121" t="s">
        <v>76</v>
      </c>
      <c r="K103" s="121"/>
      <c r="L103" s="56" t="s">
        <v>49</v>
      </c>
      <c r="M103" s="63"/>
      <c r="N103" s="63"/>
      <c r="O103" s="25">
        <f>-90-108</f>
        <v>-198</v>
      </c>
      <c r="P103" s="122"/>
      <c r="Q103" s="122"/>
      <c r="R103" s="71">
        <f t="shared" si="7"/>
        <v>-198</v>
      </c>
      <c r="S103" s="60" t="s">
        <v>173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24"/>
      <c r="B104" s="34">
        <v>55.0</v>
      </c>
      <c r="C104" s="31">
        <v>46018.0</v>
      </c>
      <c r="D104" s="34">
        <v>3.0</v>
      </c>
      <c r="E104" s="34" t="s">
        <v>67</v>
      </c>
      <c r="F104" s="34">
        <v>15.0</v>
      </c>
      <c r="G104" s="36"/>
      <c r="H104" s="36" t="s">
        <v>71</v>
      </c>
      <c r="I104" s="36" t="s">
        <v>71</v>
      </c>
      <c r="J104" s="121" t="s">
        <v>48</v>
      </c>
      <c r="K104" s="121"/>
      <c r="L104" s="56" t="s">
        <v>49</v>
      </c>
      <c r="M104" s="63"/>
      <c r="N104" s="63"/>
      <c r="O104" s="40">
        <v>297.0</v>
      </c>
      <c r="P104" s="58"/>
      <c r="Q104" s="58"/>
      <c r="R104" s="71">
        <f t="shared" si="7"/>
        <v>297</v>
      </c>
      <c r="S104" s="60" t="s">
        <v>173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24"/>
      <c r="B105" s="34">
        <v>56.0</v>
      </c>
      <c r="C105" s="31">
        <v>46018.0</v>
      </c>
      <c r="D105" s="34">
        <v>3.0</v>
      </c>
      <c r="E105" s="34" t="s">
        <v>67</v>
      </c>
      <c r="F105" s="34">
        <v>16.0</v>
      </c>
      <c r="G105" s="36"/>
      <c r="H105" s="36" t="s">
        <v>207</v>
      </c>
      <c r="I105" s="36" t="s">
        <v>208</v>
      </c>
      <c r="J105" s="121" t="s">
        <v>167</v>
      </c>
      <c r="K105" s="121"/>
      <c r="L105" s="56" t="s">
        <v>49</v>
      </c>
      <c r="M105" s="63"/>
      <c r="N105" s="63"/>
      <c r="O105" s="40">
        <f>120+67+50+187.5</f>
        <v>424.5</v>
      </c>
      <c r="P105" s="58"/>
      <c r="Q105" s="58"/>
      <c r="R105" s="71">
        <f t="shared" si="7"/>
        <v>424.5</v>
      </c>
      <c r="S105" s="60" t="s">
        <v>173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24"/>
      <c r="B106" s="34">
        <v>56.0</v>
      </c>
      <c r="C106" s="31">
        <v>46018.0</v>
      </c>
      <c r="D106" s="34">
        <v>7.0</v>
      </c>
      <c r="E106" s="34" t="s">
        <v>67</v>
      </c>
      <c r="F106" s="34">
        <v>9.0</v>
      </c>
      <c r="G106" s="36"/>
      <c r="H106" s="36" t="s">
        <v>207</v>
      </c>
      <c r="I106" s="36" t="s">
        <v>208</v>
      </c>
      <c r="J106" s="121" t="s">
        <v>76</v>
      </c>
      <c r="K106" s="121"/>
      <c r="L106" s="56" t="s">
        <v>49</v>
      </c>
      <c r="M106" s="63"/>
      <c r="N106" s="63"/>
      <c r="O106" s="25">
        <v>-90.0</v>
      </c>
      <c r="P106" s="122"/>
      <c r="Q106" s="122"/>
      <c r="R106" s="71">
        <f t="shared" si="7"/>
        <v>-90</v>
      </c>
      <c r="S106" s="60" t="s">
        <v>173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24"/>
      <c r="B107" s="34">
        <v>57.0</v>
      </c>
      <c r="C107" s="31">
        <v>46018.0</v>
      </c>
      <c r="D107" s="54"/>
      <c r="E107" s="54"/>
      <c r="F107" s="54"/>
      <c r="G107" s="36"/>
      <c r="H107" s="36" t="s">
        <v>209</v>
      </c>
      <c r="I107" s="36" t="s">
        <v>210</v>
      </c>
      <c r="J107" s="121" t="s">
        <v>211</v>
      </c>
      <c r="K107" s="121"/>
      <c r="L107" s="56" t="s">
        <v>49</v>
      </c>
      <c r="M107" s="63"/>
      <c r="N107" s="63"/>
      <c r="O107" s="40">
        <f>67+297</f>
        <v>364</v>
      </c>
      <c r="P107" s="58"/>
      <c r="Q107" s="58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24"/>
      <c r="B108" s="34">
        <v>58.0</v>
      </c>
      <c r="C108" s="31">
        <v>46018.0</v>
      </c>
      <c r="D108" s="34">
        <v>3.0</v>
      </c>
      <c r="E108" s="34" t="s">
        <v>67</v>
      </c>
      <c r="F108" s="34">
        <v>17.0</v>
      </c>
      <c r="G108" s="36"/>
      <c r="H108" s="36" t="s">
        <v>212</v>
      </c>
      <c r="I108" s="36" t="s">
        <v>212</v>
      </c>
      <c r="J108" s="121" t="s">
        <v>211</v>
      </c>
      <c r="K108" s="121"/>
      <c r="L108" s="56" t="s">
        <v>49</v>
      </c>
      <c r="M108" s="63"/>
      <c r="N108" s="63"/>
      <c r="O108" s="40">
        <f>120+67+297</f>
        <v>484</v>
      </c>
      <c r="P108" s="58"/>
      <c r="Q108" s="58"/>
      <c r="R108" s="71">
        <f t="shared" ref="R108:R109" si="8">O108</f>
        <v>484</v>
      </c>
      <c r="S108" s="60" t="s">
        <v>173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24"/>
      <c r="B109" s="34">
        <v>58.0</v>
      </c>
      <c r="C109" s="31">
        <v>46018.0</v>
      </c>
      <c r="D109" s="34">
        <v>7.0</v>
      </c>
      <c r="E109" s="34" t="s">
        <v>67</v>
      </c>
      <c r="F109" s="34">
        <v>10.0</v>
      </c>
      <c r="G109" s="36"/>
      <c r="H109" s="36" t="s">
        <v>212</v>
      </c>
      <c r="I109" s="36" t="s">
        <v>212</v>
      </c>
      <c r="J109" s="121" t="s">
        <v>76</v>
      </c>
      <c r="K109" s="121"/>
      <c r="L109" s="56" t="s">
        <v>49</v>
      </c>
      <c r="M109" s="63"/>
      <c r="N109" s="63"/>
      <c r="O109" s="40">
        <v>-120.0</v>
      </c>
      <c r="P109" s="58"/>
      <c r="Q109" s="58"/>
      <c r="R109" s="71">
        <f t="shared" si="8"/>
        <v>-120</v>
      </c>
      <c r="S109" s="60" t="s">
        <v>173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24"/>
      <c r="B110" s="34">
        <v>59.0</v>
      </c>
      <c r="C110" s="31">
        <v>46020.0</v>
      </c>
      <c r="D110" s="54"/>
      <c r="E110" s="54"/>
      <c r="F110" s="54"/>
      <c r="G110" s="36"/>
      <c r="H110" s="36" t="s">
        <v>213</v>
      </c>
      <c r="I110" s="36" t="s">
        <v>214</v>
      </c>
      <c r="J110" s="121" t="s">
        <v>215</v>
      </c>
      <c r="K110" s="121"/>
      <c r="L110" s="56" t="s">
        <v>49</v>
      </c>
      <c r="M110" s="63"/>
      <c r="N110" s="63"/>
      <c r="O110" s="40">
        <f>120+67</f>
        <v>187</v>
      </c>
      <c r="P110" s="58"/>
      <c r="Q110" s="58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24"/>
      <c r="B111" s="34">
        <v>59.0</v>
      </c>
      <c r="C111" s="31">
        <v>46020.0</v>
      </c>
      <c r="D111" s="54"/>
      <c r="E111" s="54"/>
      <c r="F111" s="54"/>
      <c r="G111" s="36"/>
      <c r="H111" s="36" t="s">
        <v>213</v>
      </c>
      <c r="I111" s="36" t="s">
        <v>214</v>
      </c>
      <c r="J111" s="121" t="s">
        <v>76</v>
      </c>
      <c r="K111" s="121"/>
      <c r="L111" s="56" t="s">
        <v>49</v>
      </c>
      <c r="M111" s="63"/>
      <c r="N111" s="63"/>
      <c r="O111" s="25">
        <v>-90.0</v>
      </c>
      <c r="P111" s="122"/>
      <c r="Q111" s="122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24"/>
      <c r="B112" s="34">
        <v>60.0</v>
      </c>
      <c r="C112" s="31">
        <v>46020.0</v>
      </c>
      <c r="D112" s="54"/>
      <c r="E112" s="54"/>
      <c r="F112" s="54"/>
      <c r="G112" s="36"/>
      <c r="H112" s="36" t="s">
        <v>216</v>
      </c>
      <c r="I112" s="36" t="s">
        <v>217</v>
      </c>
      <c r="J112" s="121" t="s">
        <v>218</v>
      </c>
      <c r="K112" s="121"/>
      <c r="L112" s="56" t="s">
        <v>49</v>
      </c>
      <c r="M112" s="63"/>
      <c r="N112" s="63"/>
      <c r="O112" s="40">
        <f>120+67+297+120+67+297</f>
        <v>968</v>
      </c>
      <c r="P112" s="58"/>
      <c r="Q112" s="58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24"/>
      <c r="B113" s="34">
        <v>60.0</v>
      </c>
      <c r="C113" s="31">
        <v>46020.0</v>
      </c>
      <c r="D113" s="54"/>
      <c r="E113" s="54"/>
      <c r="F113" s="54"/>
      <c r="G113" s="36"/>
      <c r="H113" s="36" t="s">
        <v>216</v>
      </c>
      <c r="I113" s="36" t="s">
        <v>217</v>
      </c>
      <c r="J113" s="121" t="s">
        <v>76</v>
      </c>
      <c r="K113" s="121"/>
      <c r="L113" s="56" t="s">
        <v>49</v>
      </c>
      <c r="M113" s="63"/>
      <c r="N113" s="63"/>
      <c r="O113" s="25">
        <f>-90-36-120-36</f>
        <v>-282</v>
      </c>
      <c r="P113" s="122"/>
      <c r="Q113" s="122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24"/>
      <c r="B114" s="34">
        <v>61.0</v>
      </c>
      <c r="C114" s="31">
        <v>46020.0</v>
      </c>
      <c r="D114" s="54"/>
      <c r="E114" s="54"/>
      <c r="F114" s="54"/>
      <c r="G114" s="36"/>
      <c r="H114" s="36" t="s">
        <v>219</v>
      </c>
      <c r="I114" s="36" t="s">
        <v>220</v>
      </c>
      <c r="J114" s="121" t="s">
        <v>48</v>
      </c>
      <c r="K114" s="121"/>
      <c r="L114" s="56" t="s">
        <v>49</v>
      </c>
      <c r="M114" s="63"/>
      <c r="N114" s="63"/>
      <c r="O114" s="40">
        <v>330.0</v>
      </c>
      <c r="P114" s="58"/>
      <c r="Q114" s="58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24"/>
      <c r="B115" s="34">
        <v>62.0</v>
      </c>
      <c r="C115" s="31">
        <v>46020.0</v>
      </c>
      <c r="D115" s="34">
        <v>3.0</v>
      </c>
      <c r="E115" s="34" t="s">
        <v>67</v>
      </c>
      <c r="F115" s="34">
        <v>18.0</v>
      </c>
      <c r="G115" s="36"/>
      <c r="H115" s="36" t="s">
        <v>221</v>
      </c>
      <c r="I115" s="36" t="s">
        <v>222</v>
      </c>
      <c r="J115" s="121" t="s">
        <v>218</v>
      </c>
      <c r="K115" s="121"/>
      <c r="L115" s="56" t="s">
        <v>49</v>
      </c>
      <c r="M115" s="63"/>
      <c r="N115" s="63"/>
      <c r="O115" s="40">
        <f>120+67+67+297+297</f>
        <v>848</v>
      </c>
      <c r="P115" s="58"/>
      <c r="Q115" s="58"/>
      <c r="R115" s="71">
        <f t="shared" ref="R115:R116" si="9">O115</f>
        <v>848</v>
      </c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24"/>
      <c r="B116" s="34">
        <v>62.0</v>
      </c>
      <c r="C116" s="31">
        <v>46020.0</v>
      </c>
      <c r="D116" s="34">
        <v>7.0</v>
      </c>
      <c r="E116" s="34" t="s">
        <v>67</v>
      </c>
      <c r="F116" s="34">
        <v>11.0</v>
      </c>
      <c r="G116" s="36"/>
      <c r="H116" s="36" t="s">
        <v>223</v>
      </c>
      <c r="I116" s="36" t="s">
        <v>222</v>
      </c>
      <c r="J116" s="121" t="s">
        <v>76</v>
      </c>
      <c r="K116" s="121"/>
      <c r="L116" s="56" t="s">
        <v>49</v>
      </c>
      <c r="M116" s="63"/>
      <c r="N116" s="63"/>
      <c r="O116" s="25">
        <f>-75-36-36</f>
        <v>-147</v>
      </c>
      <c r="P116" s="122"/>
      <c r="Q116" s="122"/>
      <c r="R116" s="71">
        <f t="shared" si="9"/>
        <v>-147</v>
      </c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A117" s="24"/>
      <c r="B117" s="34"/>
      <c r="C117" s="31">
        <v>46020.0</v>
      </c>
      <c r="D117" s="54"/>
      <c r="E117" s="54"/>
      <c r="F117" s="54"/>
      <c r="G117" s="36"/>
      <c r="H117" s="36"/>
      <c r="I117" s="36"/>
      <c r="J117" s="121" t="s">
        <v>224</v>
      </c>
      <c r="K117" s="121"/>
      <c r="L117" s="56" t="s">
        <v>84</v>
      </c>
      <c r="M117" s="63"/>
      <c r="N117" s="63"/>
      <c r="O117" s="40">
        <v>4.0</v>
      </c>
      <c r="P117" s="58"/>
      <c r="Q117" s="58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>
      <c r="A118" s="24"/>
      <c r="B118" s="34"/>
      <c r="C118" s="31">
        <v>46021.0</v>
      </c>
      <c r="D118" s="54"/>
      <c r="E118" s="54"/>
      <c r="F118" s="54"/>
      <c r="G118" s="36"/>
      <c r="H118" s="36"/>
      <c r="I118" s="36"/>
      <c r="J118" s="121" t="s">
        <v>225</v>
      </c>
      <c r="K118" s="121"/>
      <c r="L118" s="56" t="s">
        <v>84</v>
      </c>
      <c r="M118" s="63"/>
      <c r="N118" s="63"/>
      <c r="O118" s="40">
        <v>10.0</v>
      </c>
      <c r="P118" s="58"/>
      <c r="Q118" s="58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>
      <c r="A119" s="24"/>
      <c r="B119" s="34">
        <v>63.0</v>
      </c>
      <c r="C119" s="31">
        <v>46021.0</v>
      </c>
      <c r="D119" s="54"/>
      <c r="E119" s="54"/>
      <c r="F119" s="54"/>
      <c r="G119" s="36"/>
      <c r="H119" s="36" t="s">
        <v>226</v>
      </c>
      <c r="I119" s="36" t="s">
        <v>227</v>
      </c>
      <c r="J119" s="121" t="s">
        <v>167</v>
      </c>
      <c r="K119" s="121"/>
      <c r="L119" s="56" t="s">
        <v>49</v>
      </c>
      <c r="M119" s="63"/>
      <c r="N119" s="63"/>
      <c r="O119" s="40">
        <f>120+297+67</f>
        <v>484</v>
      </c>
      <c r="P119" s="58"/>
      <c r="Q119" s="58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>
      <c r="A120" s="24"/>
      <c r="B120" s="34">
        <v>63.0</v>
      </c>
      <c r="C120" s="31">
        <v>46021.0</v>
      </c>
      <c r="D120" s="54"/>
      <c r="E120" s="54"/>
      <c r="F120" s="54"/>
      <c r="G120" s="36"/>
      <c r="H120" s="36" t="s">
        <v>226</v>
      </c>
      <c r="I120" s="36" t="s">
        <v>228</v>
      </c>
      <c r="J120" s="121" t="s">
        <v>76</v>
      </c>
      <c r="K120" s="121"/>
      <c r="L120" s="56" t="s">
        <v>49</v>
      </c>
      <c r="M120" s="63"/>
      <c r="N120" s="63"/>
      <c r="O120" s="25">
        <v>-90.0</v>
      </c>
      <c r="P120" s="122"/>
      <c r="Q120" s="122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>
      <c r="A121" s="24"/>
      <c r="B121" s="34">
        <v>64.0</v>
      </c>
      <c r="C121" s="31">
        <v>46021.0</v>
      </c>
      <c r="D121" s="54"/>
      <c r="E121" s="54"/>
      <c r="F121" s="54"/>
      <c r="G121" s="36"/>
      <c r="H121" s="36" t="s">
        <v>229</v>
      </c>
      <c r="I121" s="36" t="s">
        <v>230</v>
      </c>
      <c r="J121" s="121" t="s">
        <v>231</v>
      </c>
      <c r="K121" s="121"/>
      <c r="L121" s="56" t="s">
        <v>49</v>
      </c>
      <c r="M121" s="63"/>
      <c r="N121" s="63"/>
      <c r="O121" s="40">
        <f>120+297+67+120+297+67</f>
        <v>968</v>
      </c>
      <c r="P121" s="58"/>
      <c r="Q121" s="58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>
      <c r="A122" s="24"/>
      <c r="B122" s="34">
        <v>64.0</v>
      </c>
      <c r="C122" s="31">
        <v>46021.0</v>
      </c>
      <c r="D122" s="54"/>
      <c r="E122" s="54"/>
      <c r="F122" s="54"/>
      <c r="G122" s="36"/>
      <c r="H122" s="36" t="s">
        <v>229</v>
      </c>
      <c r="I122" s="36" t="s">
        <v>230</v>
      </c>
      <c r="J122" s="121" t="s">
        <v>76</v>
      </c>
      <c r="K122" s="121"/>
      <c r="L122" s="56" t="s">
        <v>49</v>
      </c>
      <c r="M122" s="63"/>
      <c r="N122" s="63"/>
      <c r="O122" s="25">
        <f>-90-36-120-36</f>
        <v>-282</v>
      </c>
      <c r="P122" s="122"/>
      <c r="Q122" s="122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>
      <c r="A123" s="24"/>
      <c r="B123" s="34">
        <v>65.0</v>
      </c>
      <c r="C123" s="31">
        <v>46021.0</v>
      </c>
      <c r="D123" s="54"/>
      <c r="E123" s="54"/>
      <c r="F123" s="54"/>
      <c r="G123" s="36"/>
      <c r="H123" s="36" t="s">
        <v>232</v>
      </c>
      <c r="I123" s="36" t="s">
        <v>233</v>
      </c>
      <c r="J123" s="121" t="s">
        <v>167</v>
      </c>
      <c r="K123" s="121"/>
      <c r="L123" s="56" t="s">
        <v>49</v>
      </c>
      <c r="M123" s="63"/>
      <c r="N123" s="63"/>
      <c r="O123" s="40">
        <f>120+297+67+120+297+67</f>
        <v>968</v>
      </c>
      <c r="P123" s="58"/>
      <c r="Q123" s="58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>
      <c r="A124" s="24"/>
      <c r="B124" s="34">
        <v>65.0</v>
      </c>
      <c r="C124" s="31">
        <v>46021.0</v>
      </c>
      <c r="D124" s="54"/>
      <c r="E124" s="54"/>
      <c r="F124" s="54"/>
      <c r="G124" s="36"/>
      <c r="H124" s="36" t="s">
        <v>232</v>
      </c>
      <c r="I124" s="36" t="s">
        <v>234</v>
      </c>
      <c r="J124" s="121" t="s">
        <v>76</v>
      </c>
      <c r="K124" s="121"/>
      <c r="L124" s="56" t="s">
        <v>49</v>
      </c>
      <c r="M124" s="63"/>
      <c r="N124" s="63"/>
      <c r="O124" s="25">
        <f>-90-120-67</f>
        <v>-277</v>
      </c>
      <c r="P124" s="122"/>
      <c r="Q124" s="122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>
      <c r="A125" s="24"/>
      <c r="B125" s="34">
        <v>66.0</v>
      </c>
      <c r="C125" s="31">
        <v>46021.0</v>
      </c>
      <c r="D125" s="54"/>
      <c r="E125" s="54"/>
      <c r="F125" s="54"/>
      <c r="G125" s="36"/>
      <c r="H125" s="36" t="s">
        <v>235</v>
      </c>
      <c r="I125" s="36" t="s">
        <v>236</v>
      </c>
      <c r="J125" s="121" t="s">
        <v>215</v>
      </c>
      <c r="K125" s="121"/>
      <c r="L125" s="56" t="s">
        <v>49</v>
      </c>
      <c r="M125" s="63"/>
      <c r="N125" s="63"/>
      <c r="O125" s="40">
        <f>120+67</f>
        <v>187</v>
      </c>
      <c r="P125" s="58"/>
      <c r="Q125" s="58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>
      <c r="A126" s="24"/>
      <c r="B126" s="34">
        <v>66.0</v>
      </c>
      <c r="C126" s="31">
        <v>46021.0</v>
      </c>
      <c r="D126" s="54"/>
      <c r="E126" s="54"/>
      <c r="F126" s="54"/>
      <c r="G126" s="36"/>
      <c r="H126" s="36" t="s">
        <v>235</v>
      </c>
      <c r="I126" s="36" t="s">
        <v>236</v>
      </c>
      <c r="J126" s="121" t="s">
        <v>76</v>
      </c>
      <c r="K126" s="121"/>
      <c r="L126" s="56" t="s">
        <v>49</v>
      </c>
      <c r="M126" s="63"/>
      <c r="N126" s="63"/>
      <c r="O126" s="25">
        <v>-90.0</v>
      </c>
      <c r="P126" s="122"/>
      <c r="Q126" s="122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>
      <c r="A127" s="24"/>
      <c r="B127" s="34"/>
      <c r="C127" s="31"/>
      <c r="D127" s="54"/>
      <c r="E127" s="54"/>
      <c r="F127" s="54"/>
      <c r="G127" s="36"/>
      <c r="H127" s="36"/>
      <c r="I127" s="76"/>
      <c r="J127" s="36"/>
      <c r="K127" s="36"/>
      <c r="L127" s="56"/>
      <c r="M127" s="63"/>
      <c r="N127" s="63"/>
      <c r="O127" s="40"/>
      <c r="P127" s="58"/>
      <c r="Q127" s="58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>
      <c r="A128" s="24"/>
      <c r="B128" s="34"/>
      <c r="C128" s="31"/>
      <c r="D128" s="54"/>
      <c r="E128" s="54"/>
      <c r="F128" s="54"/>
      <c r="G128" s="36"/>
      <c r="H128" s="36"/>
      <c r="I128" s="76"/>
      <c r="J128" s="36"/>
      <c r="K128" s="36"/>
      <c r="L128" s="56"/>
      <c r="M128" s="63"/>
      <c r="N128" s="63"/>
      <c r="O128" s="40"/>
      <c r="P128" s="58"/>
      <c r="Q128" s="58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>
      <c r="A129" s="77"/>
      <c r="B129" s="78"/>
      <c r="C129" s="78"/>
      <c r="D129" s="78"/>
      <c r="E129" s="78"/>
      <c r="F129" s="78"/>
      <c r="G129" s="79"/>
      <c r="H129" s="79"/>
      <c r="I129" s="79"/>
      <c r="J129" s="79"/>
      <c r="K129" s="79"/>
      <c r="L129" s="56"/>
      <c r="M129" s="80"/>
      <c r="N129" s="80"/>
      <c r="O129" s="80">
        <f>SUM(O45:O128)</f>
        <v>17193.7</v>
      </c>
      <c r="P129" s="80"/>
      <c r="Q129" s="80"/>
      <c r="R129" s="80">
        <f>SUM(R45:R128)</f>
        <v>3481.5</v>
      </c>
      <c r="S129" s="81"/>
      <c r="T129" s="82"/>
      <c r="U129" s="80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</row>
    <row r="130">
      <c r="A130" s="53"/>
      <c r="B130" s="54"/>
      <c r="C130" s="54"/>
      <c r="D130" s="54"/>
      <c r="E130" s="54"/>
      <c r="F130" s="54"/>
      <c r="G130" s="76"/>
      <c r="H130" s="76"/>
      <c r="I130" s="76"/>
      <c r="J130" s="76"/>
      <c r="K130" s="76"/>
      <c r="L130" s="76"/>
      <c r="M130" s="76"/>
      <c r="N130" s="76"/>
      <c r="O130" s="76"/>
      <c r="P130" s="83"/>
      <c r="Q130" s="8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ht="15.75" customHeight="1">
      <c r="A131" s="84"/>
      <c r="B131" s="8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141">
        <f>R129/1.18</f>
        <v>2950.423729</v>
      </c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ht="31.5" customHeight="1">
      <c r="A132" s="5"/>
      <c r="B132" s="9" t="s">
        <v>237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7"/>
      <c r="P132" s="5"/>
      <c r="Q132" s="5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84"/>
      <c r="B133" s="8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85"/>
      <c r="B134" s="32" t="s">
        <v>1</v>
      </c>
      <c r="C134" s="32" t="s">
        <v>3</v>
      </c>
      <c r="D134" s="35" t="s">
        <v>4</v>
      </c>
      <c r="E134" s="7"/>
      <c r="F134" s="8"/>
      <c r="G134" s="86"/>
      <c r="H134" s="30" t="s">
        <v>29</v>
      </c>
      <c r="I134" s="32" t="s">
        <v>30</v>
      </c>
      <c r="J134" s="32" t="s">
        <v>7</v>
      </c>
      <c r="K134" s="48"/>
      <c r="L134" s="30" t="s">
        <v>34</v>
      </c>
      <c r="M134" s="32" t="s">
        <v>37</v>
      </c>
      <c r="N134" s="32" t="s">
        <v>10</v>
      </c>
      <c r="O134" s="32" t="s">
        <v>38</v>
      </c>
      <c r="P134" s="43" t="s">
        <v>39</v>
      </c>
      <c r="Q134" s="43" t="s">
        <v>40</v>
      </c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85"/>
      <c r="B135" s="11"/>
      <c r="C135" s="11"/>
      <c r="D135" s="48" t="s">
        <v>12</v>
      </c>
      <c r="E135" s="48" t="s">
        <v>13</v>
      </c>
      <c r="F135" s="48" t="s">
        <v>14</v>
      </c>
      <c r="G135" s="86"/>
      <c r="H135" s="11"/>
      <c r="I135" s="11"/>
      <c r="J135" s="11"/>
      <c r="K135" s="48"/>
      <c r="L135" s="11"/>
      <c r="M135" s="11"/>
      <c r="N135" s="11"/>
      <c r="O135" s="11"/>
      <c r="P135" s="11"/>
      <c r="Q135" s="11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A136" s="24"/>
      <c r="B136" s="34">
        <v>1.0</v>
      </c>
      <c r="C136" s="31">
        <v>46024.0</v>
      </c>
      <c r="D136" s="54"/>
      <c r="E136" s="54"/>
      <c r="F136" s="54"/>
      <c r="G136" s="36"/>
      <c r="H136" s="36" t="s">
        <v>238</v>
      </c>
      <c r="I136" s="36" t="s">
        <v>239</v>
      </c>
      <c r="J136" s="121" t="s">
        <v>240</v>
      </c>
      <c r="K136" s="121"/>
      <c r="L136" s="56" t="s">
        <v>49</v>
      </c>
      <c r="M136" s="63"/>
      <c r="N136" s="63"/>
      <c r="O136" s="74">
        <v>30.0</v>
      </c>
      <c r="P136" s="75"/>
      <c r="Q136" s="75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>
      <c r="A137" s="24"/>
      <c r="B137" s="34">
        <v>2.0</v>
      </c>
      <c r="C137" s="31">
        <v>46024.0</v>
      </c>
      <c r="D137" s="54"/>
      <c r="E137" s="54"/>
      <c r="F137" s="54"/>
      <c r="G137" s="36"/>
      <c r="H137" s="36" t="s">
        <v>241</v>
      </c>
      <c r="I137" s="36" t="s">
        <v>242</v>
      </c>
      <c r="J137" s="121" t="s">
        <v>243</v>
      </c>
      <c r="K137" s="121"/>
      <c r="L137" s="56" t="s">
        <v>49</v>
      </c>
      <c r="M137" s="63"/>
      <c r="N137" s="63"/>
      <c r="O137" s="74">
        <v>394.0</v>
      </c>
      <c r="P137" s="75"/>
      <c r="Q137" s="75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>
      <c r="A138" s="24"/>
      <c r="B138" s="34">
        <v>3.0</v>
      </c>
      <c r="C138" s="31">
        <v>46024.0</v>
      </c>
      <c r="D138" s="54"/>
      <c r="E138" s="54"/>
      <c r="F138" s="54"/>
      <c r="G138" s="36"/>
      <c r="H138" s="36" t="s">
        <v>244</v>
      </c>
      <c r="I138" s="36" t="s">
        <v>245</v>
      </c>
      <c r="J138" s="121" t="s">
        <v>122</v>
      </c>
      <c r="K138" s="121"/>
      <c r="L138" s="56" t="s">
        <v>49</v>
      </c>
      <c r="M138" s="63"/>
      <c r="N138" s="63"/>
      <c r="O138" s="74">
        <v>97.0</v>
      </c>
      <c r="P138" s="75"/>
      <c r="Q138" s="75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>
      <c r="A139" s="24"/>
      <c r="B139" s="34">
        <v>4.0</v>
      </c>
      <c r="C139" s="31">
        <v>46024.0</v>
      </c>
      <c r="D139" s="54"/>
      <c r="E139" s="54"/>
      <c r="F139" s="54"/>
      <c r="G139" s="36"/>
      <c r="H139" s="36" t="s">
        <v>246</v>
      </c>
      <c r="I139" s="36" t="s">
        <v>246</v>
      </c>
      <c r="J139" s="121" t="s">
        <v>243</v>
      </c>
      <c r="K139" s="121"/>
      <c r="L139" s="56" t="s">
        <v>49</v>
      </c>
      <c r="M139" s="63"/>
      <c r="N139" s="63"/>
      <c r="O139" s="74">
        <v>394.0</v>
      </c>
      <c r="P139" s="75"/>
      <c r="Q139" s="75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>
      <c r="A140" s="24"/>
      <c r="B140" s="34">
        <v>5.0</v>
      </c>
      <c r="C140" s="31">
        <v>46024.0</v>
      </c>
      <c r="D140" s="54"/>
      <c r="E140" s="54"/>
      <c r="F140" s="54"/>
      <c r="G140" s="36"/>
      <c r="H140" s="36" t="s">
        <v>247</v>
      </c>
      <c r="I140" s="36" t="s">
        <v>248</v>
      </c>
      <c r="J140" s="121" t="s">
        <v>122</v>
      </c>
      <c r="K140" s="121"/>
      <c r="L140" s="56" t="s">
        <v>49</v>
      </c>
      <c r="M140" s="63"/>
      <c r="N140" s="63"/>
      <c r="O140" s="74">
        <v>97.0</v>
      </c>
      <c r="P140" s="75"/>
      <c r="Q140" s="75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>
      <c r="A141" s="24"/>
      <c r="B141" s="34">
        <v>6.0</v>
      </c>
      <c r="C141" s="31">
        <v>46025.0</v>
      </c>
      <c r="D141" s="54"/>
      <c r="E141" s="54"/>
      <c r="F141" s="54"/>
      <c r="G141" s="36"/>
      <c r="H141" s="36" t="s">
        <v>249</v>
      </c>
      <c r="I141" s="36" t="s">
        <v>250</v>
      </c>
      <c r="J141" s="121" t="s">
        <v>240</v>
      </c>
      <c r="K141" s="121"/>
      <c r="L141" s="56" t="s">
        <v>49</v>
      </c>
      <c r="M141" s="63"/>
      <c r="N141" s="63"/>
      <c r="O141" s="74">
        <v>30.0</v>
      </c>
      <c r="P141" s="75"/>
      <c r="Q141" s="75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>
      <c r="A142" s="24"/>
      <c r="B142" s="34">
        <v>7.0</v>
      </c>
      <c r="C142" s="31">
        <v>46025.0</v>
      </c>
      <c r="D142" s="54"/>
      <c r="E142" s="54"/>
      <c r="F142" s="54"/>
      <c r="G142" s="36"/>
      <c r="H142" s="36" t="s">
        <v>251</v>
      </c>
      <c r="I142" s="36" t="s">
        <v>252</v>
      </c>
      <c r="J142" s="121" t="s">
        <v>48</v>
      </c>
      <c r="K142" s="121"/>
      <c r="L142" s="56" t="s">
        <v>49</v>
      </c>
      <c r="M142" s="63"/>
      <c r="N142" s="63"/>
      <c r="O142" s="74">
        <v>297.0</v>
      </c>
      <c r="P142" s="75"/>
      <c r="Q142" s="75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>
      <c r="A143" s="24"/>
      <c r="B143" s="34">
        <v>8.0</v>
      </c>
      <c r="C143" s="31">
        <v>46025.0</v>
      </c>
      <c r="D143" s="54"/>
      <c r="E143" s="54"/>
      <c r="F143" s="54"/>
      <c r="G143" s="36"/>
      <c r="H143" s="36" t="s">
        <v>246</v>
      </c>
      <c r="I143" s="36" t="s">
        <v>246</v>
      </c>
      <c r="J143" s="121" t="s">
        <v>243</v>
      </c>
      <c r="K143" s="121"/>
      <c r="L143" s="56" t="s">
        <v>49</v>
      </c>
      <c r="M143" s="63"/>
      <c r="N143" s="63"/>
      <c r="O143" s="74">
        <v>394.0</v>
      </c>
      <c r="P143" s="75"/>
      <c r="Q143" s="75"/>
      <c r="R143" s="60" t="s">
        <v>253</v>
      </c>
      <c r="S143" s="60" t="s">
        <v>254</v>
      </c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>
      <c r="A144" s="24"/>
      <c r="B144" s="34">
        <v>9.0</v>
      </c>
      <c r="C144" s="31">
        <v>46025.0</v>
      </c>
      <c r="D144" s="54"/>
      <c r="E144" s="54"/>
      <c r="F144" s="54"/>
      <c r="G144" s="36"/>
      <c r="H144" s="36" t="s">
        <v>247</v>
      </c>
      <c r="I144" s="36" t="s">
        <v>247</v>
      </c>
      <c r="J144" s="121" t="s">
        <v>255</v>
      </c>
      <c r="K144" s="121"/>
      <c r="L144" s="56" t="s">
        <v>49</v>
      </c>
      <c r="M144" s="63"/>
      <c r="N144" s="63"/>
      <c r="O144" s="74">
        <v>97.0</v>
      </c>
      <c r="P144" s="75"/>
      <c r="Q144" s="75"/>
      <c r="R144" s="60" t="s">
        <v>253</v>
      </c>
      <c r="S144" s="60" t="s">
        <v>256</v>
      </c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24"/>
      <c r="B145" s="34">
        <v>10.0</v>
      </c>
      <c r="C145" s="31">
        <v>46025.0</v>
      </c>
      <c r="D145" s="54"/>
      <c r="E145" s="54"/>
      <c r="F145" s="54"/>
      <c r="G145" s="36"/>
      <c r="H145" s="36" t="s">
        <v>244</v>
      </c>
      <c r="I145" s="36" t="s">
        <v>245</v>
      </c>
      <c r="J145" s="121" t="s">
        <v>48</v>
      </c>
      <c r="K145" s="121"/>
      <c r="L145" s="56" t="s">
        <v>49</v>
      </c>
      <c r="M145" s="63"/>
      <c r="N145" s="63"/>
      <c r="O145" s="74">
        <v>297.0</v>
      </c>
      <c r="P145" s="75"/>
      <c r="Q145" s="75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24"/>
      <c r="B146" s="34">
        <v>11.0</v>
      </c>
      <c r="C146" s="31">
        <v>46025.0</v>
      </c>
      <c r="D146" s="54"/>
      <c r="E146" s="54"/>
      <c r="F146" s="54"/>
      <c r="G146" s="36"/>
      <c r="H146" s="36" t="s">
        <v>257</v>
      </c>
      <c r="I146" s="36" t="s">
        <v>258</v>
      </c>
      <c r="J146" s="121" t="s">
        <v>48</v>
      </c>
      <c r="K146" s="121"/>
      <c r="L146" s="56" t="s">
        <v>49</v>
      </c>
      <c r="M146" s="63"/>
      <c r="N146" s="63"/>
      <c r="O146" s="74">
        <v>297.0</v>
      </c>
      <c r="P146" s="75"/>
      <c r="Q146" s="75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24"/>
      <c r="B147" s="34">
        <v>12.0</v>
      </c>
      <c r="C147" s="31">
        <v>46025.0</v>
      </c>
      <c r="D147" s="54"/>
      <c r="E147" s="54"/>
      <c r="F147" s="54"/>
      <c r="G147" s="36"/>
      <c r="H147" s="36" t="s">
        <v>259</v>
      </c>
      <c r="I147" s="36" t="s">
        <v>260</v>
      </c>
      <c r="J147" s="121" t="s">
        <v>243</v>
      </c>
      <c r="K147" s="121"/>
      <c r="L147" s="56" t="s">
        <v>49</v>
      </c>
      <c r="M147" s="63"/>
      <c r="N147" s="63"/>
      <c r="O147" s="74">
        <v>394.0</v>
      </c>
      <c r="P147" s="75"/>
      <c r="Q147" s="75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24"/>
      <c r="B148" s="34">
        <v>13.0</v>
      </c>
      <c r="C148" s="31">
        <v>46027.0</v>
      </c>
      <c r="D148" s="54"/>
      <c r="E148" s="54"/>
      <c r="F148" s="54"/>
      <c r="G148" s="36"/>
      <c r="H148" s="36" t="s">
        <v>261</v>
      </c>
      <c r="I148" s="36" t="s">
        <v>262</v>
      </c>
      <c r="J148" s="121" t="s">
        <v>243</v>
      </c>
      <c r="K148" s="121"/>
      <c r="L148" s="56" t="s">
        <v>49</v>
      </c>
      <c r="M148" s="63"/>
      <c r="N148" s="63"/>
      <c r="O148" s="74">
        <v>394.0</v>
      </c>
      <c r="P148" s="75"/>
      <c r="Q148" s="75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>
      <c r="A149" s="24"/>
      <c r="B149" s="34">
        <v>14.0</v>
      </c>
      <c r="C149" s="31">
        <v>46027.0</v>
      </c>
      <c r="D149" s="54"/>
      <c r="E149" s="54"/>
      <c r="F149" s="54"/>
      <c r="G149" s="36"/>
      <c r="H149" s="36" t="s">
        <v>263</v>
      </c>
      <c r="I149" s="36" t="s">
        <v>264</v>
      </c>
      <c r="J149" s="121" t="s">
        <v>243</v>
      </c>
      <c r="K149" s="121"/>
      <c r="L149" s="56" t="s">
        <v>49</v>
      </c>
      <c r="M149" s="63"/>
      <c r="N149" s="63"/>
      <c r="O149" s="74">
        <v>394.0</v>
      </c>
      <c r="P149" s="75"/>
      <c r="Q149" s="75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>
      <c r="A150" s="24"/>
      <c r="B150" s="34">
        <v>15.0</v>
      </c>
      <c r="C150" s="31">
        <v>46027.0</v>
      </c>
      <c r="D150" s="54"/>
      <c r="E150" s="54"/>
      <c r="F150" s="54"/>
      <c r="G150" s="36"/>
      <c r="H150" s="36" t="s">
        <v>265</v>
      </c>
      <c r="I150" s="36" t="s">
        <v>266</v>
      </c>
      <c r="J150" s="121" t="s">
        <v>267</v>
      </c>
      <c r="K150" s="121"/>
      <c r="L150" s="56" t="s">
        <v>49</v>
      </c>
      <c r="M150" s="63"/>
      <c r="N150" s="63"/>
      <c r="O150" s="74">
        <v>60.0</v>
      </c>
      <c r="P150" s="75"/>
      <c r="Q150" s="75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24"/>
      <c r="B151" s="34">
        <v>16.0</v>
      </c>
      <c r="C151" s="31">
        <v>46027.0</v>
      </c>
      <c r="D151" s="54"/>
      <c r="E151" s="54"/>
      <c r="F151" s="54"/>
      <c r="G151" s="36"/>
      <c r="H151" s="36" t="s">
        <v>268</v>
      </c>
      <c r="I151" s="36" t="s">
        <v>269</v>
      </c>
      <c r="J151" s="121" t="s">
        <v>48</v>
      </c>
      <c r="K151" s="121"/>
      <c r="L151" s="56" t="s">
        <v>49</v>
      </c>
      <c r="M151" s="63"/>
      <c r="N151" s="63"/>
      <c r="O151" s="74">
        <v>200.0</v>
      </c>
      <c r="P151" s="75"/>
      <c r="Q151" s="75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24"/>
      <c r="B152" s="34">
        <v>17.0</v>
      </c>
      <c r="C152" s="31">
        <v>46027.0</v>
      </c>
      <c r="D152" s="54"/>
      <c r="E152" s="54"/>
      <c r="F152" s="54"/>
      <c r="G152" s="36"/>
      <c r="H152" s="36" t="s">
        <v>270</v>
      </c>
      <c r="I152" s="36" t="s">
        <v>271</v>
      </c>
      <c r="J152" s="121" t="s">
        <v>243</v>
      </c>
      <c r="K152" s="121"/>
      <c r="L152" s="56" t="s">
        <v>49</v>
      </c>
      <c r="M152" s="63"/>
      <c r="N152" s="63"/>
      <c r="O152" s="74">
        <v>394.0</v>
      </c>
      <c r="P152" s="75"/>
      <c r="Q152" s="75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24"/>
      <c r="B153" s="34">
        <v>18.0</v>
      </c>
      <c r="C153" s="31">
        <v>46027.0</v>
      </c>
      <c r="D153" s="54"/>
      <c r="E153" s="54"/>
      <c r="F153" s="54"/>
      <c r="G153" s="36"/>
      <c r="H153" s="36" t="s">
        <v>272</v>
      </c>
      <c r="I153" s="36" t="s">
        <v>273</v>
      </c>
      <c r="J153" s="121" t="s">
        <v>243</v>
      </c>
      <c r="K153" s="121"/>
      <c r="L153" s="56" t="s">
        <v>49</v>
      </c>
      <c r="M153" s="63"/>
      <c r="N153" s="63"/>
      <c r="O153" s="74">
        <v>394.0</v>
      </c>
      <c r="P153" s="75"/>
      <c r="Q153" s="75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24"/>
      <c r="B154" s="34">
        <v>19.0</v>
      </c>
      <c r="C154" s="31">
        <v>46027.0</v>
      </c>
      <c r="D154" s="54"/>
      <c r="E154" s="54"/>
      <c r="F154" s="54"/>
      <c r="G154" s="36"/>
      <c r="H154" s="36" t="s">
        <v>274</v>
      </c>
      <c r="I154" s="36" t="s">
        <v>275</v>
      </c>
      <c r="J154" s="121" t="s">
        <v>240</v>
      </c>
      <c r="K154" s="121"/>
      <c r="L154" s="56" t="s">
        <v>49</v>
      </c>
      <c r="M154" s="63"/>
      <c r="N154" s="63"/>
      <c r="O154" s="74">
        <v>30.0</v>
      </c>
      <c r="P154" s="75"/>
      <c r="Q154" s="75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A155" s="24"/>
      <c r="B155" s="34">
        <v>20.0</v>
      </c>
      <c r="C155" s="31">
        <v>46027.0</v>
      </c>
      <c r="D155" s="54"/>
      <c r="E155" s="54"/>
      <c r="F155" s="54"/>
      <c r="G155" s="36"/>
      <c r="H155" s="36" t="s">
        <v>276</v>
      </c>
      <c r="I155" s="36" t="s">
        <v>277</v>
      </c>
      <c r="J155" s="121" t="s">
        <v>243</v>
      </c>
      <c r="K155" s="121"/>
      <c r="L155" s="56" t="s">
        <v>49</v>
      </c>
      <c r="M155" s="63"/>
      <c r="N155" s="63"/>
      <c r="O155" s="74">
        <v>394.0</v>
      </c>
      <c r="P155" s="75"/>
      <c r="Q155" s="75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>
      <c r="A156" s="24"/>
      <c r="B156" s="34">
        <v>21.0</v>
      </c>
      <c r="C156" s="31">
        <v>46027.0</v>
      </c>
      <c r="D156" s="54"/>
      <c r="E156" s="54"/>
      <c r="F156" s="54"/>
      <c r="G156" s="36"/>
      <c r="H156" s="36" t="s">
        <v>278</v>
      </c>
      <c r="I156" s="36" t="s">
        <v>222</v>
      </c>
      <c r="J156" s="121" t="s">
        <v>279</v>
      </c>
      <c r="K156" s="121"/>
      <c r="L156" s="56" t="s">
        <v>49</v>
      </c>
      <c r="M156" s="63"/>
      <c r="N156" s="63"/>
      <c r="O156" s="74">
        <v>701.0</v>
      </c>
      <c r="P156" s="75"/>
      <c r="Q156" s="75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>
      <c r="A157" s="24"/>
      <c r="B157" s="34">
        <v>22.0</v>
      </c>
      <c r="C157" s="31">
        <v>46027.0</v>
      </c>
      <c r="D157" s="54"/>
      <c r="E157" s="54"/>
      <c r="F157" s="54"/>
      <c r="G157" s="36"/>
      <c r="H157" s="36" t="s">
        <v>165</v>
      </c>
      <c r="I157" s="36" t="s">
        <v>280</v>
      </c>
      <c r="J157" s="121" t="s">
        <v>281</v>
      </c>
      <c r="K157" s="121"/>
      <c r="L157" s="56" t="s">
        <v>49</v>
      </c>
      <c r="M157" s="63"/>
      <c r="N157" s="63"/>
      <c r="O157" s="74">
        <v>261.0</v>
      </c>
      <c r="P157" s="75"/>
      <c r="Q157" s="75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>
      <c r="A158" s="24"/>
      <c r="B158" s="34">
        <v>23.0</v>
      </c>
      <c r="C158" s="31">
        <v>46027.0</v>
      </c>
      <c r="D158" s="54"/>
      <c r="E158" s="54"/>
      <c r="F158" s="54"/>
      <c r="G158" s="36"/>
      <c r="H158" s="36" t="s">
        <v>165</v>
      </c>
      <c r="I158" s="36" t="s">
        <v>280</v>
      </c>
      <c r="J158" s="121" t="s">
        <v>255</v>
      </c>
      <c r="K158" s="121"/>
      <c r="L158" s="56" t="s">
        <v>49</v>
      </c>
      <c r="M158" s="63"/>
      <c r="N158" s="63"/>
      <c r="O158" s="74">
        <v>50.0</v>
      </c>
      <c r="P158" s="75"/>
      <c r="Q158" s="75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>
      <c r="A159" s="24"/>
      <c r="B159" s="34">
        <v>24.0</v>
      </c>
      <c r="C159" s="31">
        <v>46027.0</v>
      </c>
      <c r="D159" s="54"/>
      <c r="E159" s="54"/>
      <c r="F159" s="54"/>
      <c r="G159" s="36"/>
      <c r="H159" s="36" t="s">
        <v>247</v>
      </c>
      <c r="I159" s="36" t="s">
        <v>248</v>
      </c>
      <c r="J159" s="121" t="s">
        <v>48</v>
      </c>
      <c r="K159" s="121"/>
      <c r="L159" s="56" t="s">
        <v>49</v>
      </c>
      <c r="M159" s="63"/>
      <c r="N159" s="63"/>
      <c r="O159" s="74">
        <v>297.0</v>
      </c>
      <c r="P159" s="75"/>
      <c r="Q159" s="75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>
      <c r="A160" s="24"/>
      <c r="B160" s="34">
        <v>25.0</v>
      </c>
      <c r="C160" s="31">
        <v>46028.0</v>
      </c>
      <c r="D160" s="54"/>
      <c r="E160" s="54"/>
      <c r="F160" s="54"/>
      <c r="G160" s="36"/>
      <c r="H160" s="36" t="s">
        <v>265</v>
      </c>
      <c r="I160" s="36" t="s">
        <v>282</v>
      </c>
      <c r="J160" s="121" t="s">
        <v>283</v>
      </c>
      <c r="K160" s="121"/>
      <c r="L160" s="56" t="s">
        <v>49</v>
      </c>
      <c r="M160" s="63"/>
      <c r="N160" s="63"/>
      <c r="O160" s="74">
        <v>364.0</v>
      </c>
      <c r="P160" s="75"/>
      <c r="Q160" s="75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>
      <c r="A161" s="24"/>
      <c r="B161" s="34">
        <v>26.0</v>
      </c>
      <c r="C161" s="31">
        <v>46028.0</v>
      </c>
      <c r="D161" s="54"/>
      <c r="E161" s="54"/>
      <c r="F161" s="54"/>
      <c r="G161" s="36"/>
      <c r="H161" s="36" t="s">
        <v>265</v>
      </c>
      <c r="I161" s="36" t="s">
        <v>284</v>
      </c>
      <c r="J161" s="121" t="s">
        <v>283</v>
      </c>
      <c r="K161" s="121"/>
      <c r="L161" s="56" t="s">
        <v>49</v>
      </c>
      <c r="M161" s="63"/>
      <c r="N161" s="63"/>
      <c r="O161" s="74">
        <v>364.0</v>
      </c>
      <c r="P161" s="75"/>
      <c r="Q161" s="75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>
      <c r="A162" s="24"/>
      <c r="B162" s="34">
        <v>27.0</v>
      </c>
      <c r="C162" s="31">
        <v>46028.0</v>
      </c>
      <c r="D162" s="54"/>
      <c r="E162" s="54"/>
      <c r="F162" s="54"/>
      <c r="G162" s="36"/>
      <c r="H162" s="36" t="s">
        <v>285</v>
      </c>
      <c r="I162" s="36" t="s">
        <v>286</v>
      </c>
      <c r="J162" s="121" t="s">
        <v>287</v>
      </c>
      <c r="K162" s="121"/>
      <c r="L162" s="56" t="s">
        <v>84</v>
      </c>
      <c r="M162" s="63"/>
      <c r="N162" s="63"/>
      <c r="O162" s="74">
        <v>150.0</v>
      </c>
      <c r="P162" s="75"/>
      <c r="Q162" s="75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>
      <c r="A163" s="24"/>
      <c r="B163" s="34">
        <v>28.0</v>
      </c>
      <c r="C163" s="31">
        <v>46028.0</v>
      </c>
      <c r="D163" s="54"/>
      <c r="E163" s="54"/>
      <c r="F163" s="54"/>
      <c r="G163" s="36"/>
      <c r="H163" s="36" t="s">
        <v>137</v>
      </c>
      <c r="I163" s="36" t="s">
        <v>288</v>
      </c>
      <c r="J163" s="121" t="s">
        <v>289</v>
      </c>
      <c r="K163" s="121"/>
      <c r="L163" s="56" t="s">
        <v>84</v>
      </c>
      <c r="M163" s="63"/>
      <c r="N163" s="63"/>
      <c r="O163" s="74">
        <v>397.0</v>
      </c>
      <c r="P163" s="75"/>
      <c r="Q163" s="75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>
      <c r="A164" s="24"/>
      <c r="B164" s="34">
        <v>29.0</v>
      </c>
      <c r="C164" s="31">
        <v>46028.0</v>
      </c>
      <c r="D164" s="54"/>
      <c r="E164" s="54"/>
      <c r="F164" s="54"/>
      <c r="G164" s="36"/>
      <c r="H164" s="36" t="s">
        <v>290</v>
      </c>
      <c r="I164" s="36" t="s">
        <v>291</v>
      </c>
      <c r="J164" s="121" t="s">
        <v>48</v>
      </c>
      <c r="K164" s="121"/>
      <c r="L164" s="56" t="s">
        <v>49</v>
      </c>
      <c r="M164" s="63"/>
      <c r="N164" s="63"/>
      <c r="O164" s="74">
        <v>297.0</v>
      </c>
      <c r="P164" s="75"/>
      <c r="Q164" s="75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>
      <c r="A165" s="24"/>
      <c r="B165" s="34">
        <v>30.0</v>
      </c>
      <c r="C165" s="31">
        <v>46028.0</v>
      </c>
      <c r="D165" s="54"/>
      <c r="E165" s="54"/>
      <c r="F165" s="54"/>
      <c r="G165" s="36"/>
      <c r="H165" s="36" t="s">
        <v>292</v>
      </c>
      <c r="I165" s="36" t="s">
        <v>286</v>
      </c>
      <c r="J165" s="121" t="s">
        <v>48</v>
      </c>
      <c r="K165" s="121"/>
      <c r="L165" s="56" t="s">
        <v>49</v>
      </c>
      <c r="M165" s="63"/>
      <c r="N165" s="63"/>
      <c r="O165" s="74">
        <v>334.5</v>
      </c>
      <c r="P165" s="75"/>
      <c r="Q165" s="75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>
      <c r="A166" s="24"/>
      <c r="B166" s="34">
        <v>31.0</v>
      </c>
      <c r="C166" s="31">
        <v>46028.0</v>
      </c>
      <c r="D166" s="54"/>
      <c r="E166" s="54"/>
      <c r="F166" s="54"/>
      <c r="G166" s="36"/>
      <c r="H166" s="36" t="s">
        <v>293</v>
      </c>
      <c r="I166" s="36" t="s">
        <v>294</v>
      </c>
      <c r="J166" s="121" t="s">
        <v>243</v>
      </c>
      <c r="K166" s="121"/>
      <c r="L166" s="56" t="s">
        <v>49</v>
      </c>
      <c r="M166" s="63"/>
      <c r="N166" s="63"/>
      <c r="O166" s="74">
        <v>394.0</v>
      </c>
      <c r="P166" s="75"/>
      <c r="Q166" s="60" t="s">
        <v>253</v>
      </c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24"/>
      <c r="B167" s="34">
        <v>32.0</v>
      </c>
      <c r="C167" s="31">
        <v>46028.0</v>
      </c>
      <c r="D167" s="54"/>
      <c r="E167" s="54"/>
      <c r="F167" s="54"/>
      <c r="G167" s="36"/>
      <c r="H167" s="36" t="s">
        <v>295</v>
      </c>
      <c r="I167" s="36" t="s">
        <v>296</v>
      </c>
      <c r="J167" s="121" t="s">
        <v>243</v>
      </c>
      <c r="K167" s="121"/>
      <c r="L167" s="56" t="s">
        <v>49</v>
      </c>
      <c r="M167" s="63"/>
      <c r="N167" s="63"/>
      <c r="O167" s="74">
        <v>343.0</v>
      </c>
      <c r="P167" s="75"/>
      <c r="Q167" s="60" t="s">
        <v>253</v>
      </c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24"/>
      <c r="B168" s="34">
        <v>33.0</v>
      </c>
      <c r="C168" s="31">
        <v>46028.0</v>
      </c>
      <c r="D168" s="54"/>
      <c r="E168" s="54"/>
      <c r="F168" s="54"/>
      <c r="G168" s="36"/>
      <c r="H168" s="36" t="s">
        <v>295</v>
      </c>
      <c r="I168" s="36" t="s">
        <v>297</v>
      </c>
      <c r="J168" s="121" t="s">
        <v>243</v>
      </c>
      <c r="K168" s="121"/>
      <c r="L168" s="56" t="s">
        <v>49</v>
      </c>
      <c r="M168" s="63"/>
      <c r="N168" s="63"/>
      <c r="O168" s="74">
        <v>343.0</v>
      </c>
      <c r="P168" s="75"/>
      <c r="Q168" s="60" t="s">
        <v>253</v>
      </c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24"/>
      <c r="B169" s="34">
        <v>34.0</v>
      </c>
      <c r="C169" s="31">
        <v>46028.0</v>
      </c>
      <c r="D169" s="54"/>
      <c r="E169" s="54"/>
      <c r="F169" s="54"/>
      <c r="G169" s="36"/>
      <c r="H169" s="36" t="s">
        <v>298</v>
      </c>
      <c r="I169" s="36" t="s">
        <v>299</v>
      </c>
      <c r="J169" s="121" t="s">
        <v>243</v>
      </c>
      <c r="K169" s="121"/>
      <c r="L169" s="56" t="s">
        <v>49</v>
      </c>
      <c r="M169" s="63"/>
      <c r="N169" s="63"/>
      <c r="O169" s="74">
        <v>358.0</v>
      </c>
      <c r="P169" s="75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24"/>
      <c r="B170" s="34">
        <v>35.0</v>
      </c>
      <c r="C170" s="31">
        <v>46028.0</v>
      </c>
      <c r="D170" s="54"/>
      <c r="E170" s="54"/>
      <c r="F170" s="54"/>
      <c r="G170" s="36"/>
      <c r="H170" s="36" t="s">
        <v>298</v>
      </c>
      <c r="I170" s="36" t="s">
        <v>300</v>
      </c>
      <c r="J170" s="121" t="s">
        <v>243</v>
      </c>
      <c r="K170" s="121"/>
      <c r="L170" s="56" t="s">
        <v>49</v>
      </c>
      <c r="M170" s="63"/>
      <c r="N170" s="63"/>
      <c r="O170" s="74">
        <v>358.0</v>
      </c>
      <c r="P170" s="75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24"/>
      <c r="B171" s="34">
        <v>36.0</v>
      </c>
      <c r="C171" s="31">
        <v>46028.0</v>
      </c>
      <c r="D171" s="54"/>
      <c r="E171" s="54"/>
      <c r="F171" s="54"/>
      <c r="G171" s="36"/>
      <c r="H171" s="36" t="s">
        <v>298</v>
      </c>
      <c r="I171" s="36" t="s">
        <v>301</v>
      </c>
      <c r="J171" s="121" t="s">
        <v>243</v>
      </c>
      <c r="K171" s="121"/>
      <c r="L171" s="56" t="s">
        <v>49</v>
      </c>
      <c r="M171" s="63"/>
      <c r="N171" s="63"/>
      <c r="O171" s="74">
        <v>358.0</v>
      </c>
      <c r="P171" s="75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24"/>
      <c r="B172" s="34">
        <v>37.0</v>
      </c>
      <c r="C172" s="31">
        <v>46028.0</v>
      </c>
      <c r="D172" s="54"/>
      <c r="E172" s="54"/>
      <c r="F172" s="54"/>
      <c r="G172" s="36"/>
      <c r="H172" s="36" t="s">
        <v>302</v>
      </c>
      <c r="I172" s="36" t="s">
        <v>303</v>
      </c>
      <c r="J172" s="121" t="s">
        <v>48</v>
      </c>
      <c r="K172" s="121"/>
      <c r="L172" s="56" t="s">
        <v>49</v>
      </c>
      <c r="M172" s="63"/>
      <c r="N172" s="63"/>
      <c r="O172" s="74">
        <v>297.0</v>
      </c>
      <c r="P172" s="75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24"/>
      <c r="B173" s="34">
        <v>38.0</v>
      </c>
      <c r="C173" s="31">
        <v>46028.0</v>
      </c>
      <c r="D173" s="54"/>
      <c r="E173" s="54"/>
      <c r="F173" s="54"/>
      <c r="G173" s="36"/>
      <c r="H173" s="36" t="s">
        <v>276</v>
      </c>
      <c r="I173" s="36" t="s">
        <v>277</v>
      </c>
      <c r="J173" s="121" t="s">
        <v>304</v>
      </c>
      <c r="K173" s="121"/>
      <c r="L173" s="56" t="s">
        <v>49</v>
      </c>
      <c r="M173" s="63"/>
      <c r="N173" s="63"/>
      <c r="O173" s="74">
        <v>311.0</v>
      </c>
      <c r="P173" s="75"/>
      <c r="Q173" s="60" t="s">
        <v>253</v>
      </c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A174" s="24"/>
      <c r="B174" s="34">
        <v>39.0</v>
      </c>
      <c r="C174" s="31">
        <v>46029.0</v>
      </c>
      <c r="D174" s="54"/>
      <c r="E174" s="54"/>
      <c r="F174" s="54"/>
      <c r="G174" s="36"/>
      <c r="H174" s="36" t="s">
        <v>268</v>
      </c>
      <c r="I174" s="36" t="s">
        <v>269</v>
      </c>
      <c r="J174" s="121" t="s">
        <v>48</v>
      </c>
      <c r="K174" s="121"/>
      <c r="L174" s="56" t="s">
        <v>49</v>
      </c>
      <c r="M174" s="63"/>
      <c r="N174" s="63"/>
      <c r="O174" s="74">
        <v>97.0</v>
      </c>
      <c r="P174" s="75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A175" s="24"/>
      <c r="B175" s="34">
        <v>40.0</v>
      </c>
      <c r="C175" s="31">
        <v>46029.0</v>
      </c>
      <c r="D175" s="54"/>
      <c r="E175" s="54"/>
      <c r="F175" s="54"/>
      <c r="G175" s="36"/>
      <c r="H175" s="36" t="s">
        <v>305</v>
      </c>
      <c r="I175" s="36" t="s">
        <v>306</v>
      </c>
      <c r="J175" s="121" t="s">
        <v>243</v>
      </c>
      <c r="K175" s="121"/>
      <c r="L175" s="56" t="s">
        <v>49</v>
      </c>
      <c r="M175" s="63"/>
      <c r="N175" s="63"/>
      <c r="O175" s="74">
        <v>297.0</v>
      </c>
      <c r="P175" s="75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A176" s="24"/>
      <c r="B176" s="34">
        <v>41.0</v>
      </c>
      <c r="C176" s="31">
        <v>46029.0</v>
      </c>
      <c r="D176" s="54"/>
      <c r="E176" s="54"/>
      <c r="F176" s="54"/>
      <c r="G176" s="36"/>
      <c r="H176" s="36" t="s">
        <v>307</v>
      </c>
      <c r="I176" s="36" t="s">
        <v>308</v>
      </c>
      <c r="J176" s="121" t="s">
        <v>243</v>
      </c>
      <c r="K176" s="121"/>
      <c r="L176" s="56" t="s">
        <v>49</v>
      </c>
      <c r="M176" s="63"/>
      <c r="N176" s="63"/>
      <c r="O176" s="74">
        <v>394.0</v>
      </c>
      <c r="P176" s="75"/>
      <c r="Q176" s="60" t="s">
        <v>253</v>
      </c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A177" s="24"/>
      <c r="B177" s="34">
        <v>42.0</v>
      </c>
      <c r="C177" s="31">
        <v>46030.0</v>
      </c>
      <c r="D177" s="54"/>
      <c r="E177" s="54"/>
      <c r="F177" s="54"/>
      <c r="G177" s="36"/>
      <c r="H177" s="36" t="s">
        <v>139</v>
      </c>
      <c r="I177" s="36" t="s">
        <v>309</v>
      </c>
      <c r="J177" s="121" t="s">
        <v>48</v>
      </c>
      <c r="K177" s="121"/>
      <c r="L177" s="56" t="s">
        <v>49</v>
      </c>
      <c r="M177" s="63"/>
      <c r="N177" s="63"/>
      <c r="O177" s="74">
        <v>252.0</v>
      </c>
      <c r="P177" s="75"/>
      <c r="Q177" s="75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A178" s="24"/>
      <c r="B178" s="34">
        <v>43.0</v>
      </c>
      <c r="C178" s="31">
        <v>46030.0</v>
      </c>
      <c r="D178" s="54"/>
      <c r="E178" s="54"/>
      <c r="F178" s="54"/>
      <c r="G178" s="36"/>
      <c r="H178" s="36" t="s">
        <v>310</v>
      </c>
      <c r="I178" s="36" t="s">
        <v>311</v>
      </c>
      <c r="J178" s="121" t="s">
        <v>312</v>
      </c>
      <c r="K178" s="121"/>
      <c r="L178" s="56" t="s">
        <v>49</v>
      </c>
      <c r="M178" s="63"/>
      <c r="N178" s="63"/>
      <c r="O178" s="74">
        <v>327.0</v>
      </c>
      <c r="P178" s="75"/>
      <c r="Q178" s="75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A179" s="24"/>
      <c r="B179" s="34">
        <v>44.0</v>
      </c>
      <c r="C179" s="31">
        <v>46030.0</v>
      </c>
      <c r="D179" s="54"/>
      <c r="E179" s="54"/>
      <c r="F179" s="54"/>
      <c r="G179" s="36"/>
      <c r="H179" s="36" t="s">
        <v>313</v>
      </c>
      <c r="I179" s="36" t="s">
        <v>314</v>
      </c>
      <c r="J179" s="121" t="s">
        <v>315</v>
      </c>
      <c r="K179" s="121"/>
      <c r="L179" s="56" t="s">
        <v>49</v>
      </c>
      <c r="M179" s="63"/>
      <c r="N179" s="63"/>
      <c r="O179" s="74">
        <v>283.0</v>
      </c>
      <c r="P179" s="75"/>
      <c r="Q179" s="75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A180" s="24"/>
      <c r="B180" s="34">
        <v>45.0</v>
      </c>
      <c r="C180" s="31">
        <v>46030.0</v>
      </c>
      <c r="D180" s="54"/>
      <c r="E180" s="54"/>
      <c r="F180" s="54"/>
      <c r="G180" s="36"/>
      <c r="H180" s="36" t="s">
        <v>316</v>
      </c>
      <c r="I180" s="36" t="s">
        <v>317</v>
      </c>
      <c r="J180" s="142" t="s">
        <v>122</v>
      </c>
      <c r="K180" s="142"/>
      <c r="L180" s="56" t="s">
        <v>49</v>
      </c>
      <c r="M180" s="63"/>
      <c r="N180" s="63"/>
      <c r="O180" s="74">
        <v>100.0</v>
      </c>
      <c r="P180" s="75"/>
      <c r="Q180" s="75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A181" s="24"/>
      <c r="B181" s="34">
        <v>46.0</v>
      </c>
      <c r="C181" s="31">
        <v>46031.0</v>
      </c>
      <c r="D181" s="54"/>
      <c r="E181" s="54"/>
      <c r="F181" s="54"/>
      <c r="G181" s="36"/>
      <c r="H181" s="36" t="s">
        <v>318</v>
      </c>
      <c r="I181" s="36" t="s">
        <v>138</v>
      </c>
      <c r="J181" s="121" t="s">
        <v>48</v>
      </c>
      <c r="K181" s="121"/>
      <c r="L181" s="56" t="s">
        <v>49</v>
      </c>
      <c r="M181" s="63"/>
      <c r="N181" s="63"/>
      <c r="O181" s="74">
        <v>297.0</v>
      </c>
      <c r="P181" s="75"/>
      <c r="Q181" s="75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A182" s="24"/>
      <c r="B182" s="34">
        <v>47.0</v>
      </c>
      <c r="C182" s="31">
        <v>46031.0</v>
      </c>
      <c r="D182" s="54"/>
      <c r="E182" s="54"/>
      <c r="F182" s="54"/>
      <c r="G182" s="36"/>
      <c r="H182" s="36" t="s">
        <v>319</v>
      </c>
      <c r="I182" s="36" t="s">
        <v>320</v>
      </c>
      <c r="J182" s="121" t="s">
        <v>243</v>
      </c>
      <c r="K182" s="121"/>
      <c r="L182" s="56" t="s">
        <v>49</v>
      </c>
      <c r="M182" s="63"/>
      <c r="N182" s="63"/>
      <c r="O182" s="74">
        <v>394.0</v>
      </c>
      <c r="P182" s="75"/>
      <c r="Q182" s="75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A183" s="24"/>
      <c r="B183" s="34">
        <v>48.0</v>
      </c>
      <c r="C183" s="31">
        <v>46031.0</v>
      </c>
      <c r="D183" s="54"/>
      <c r="E183" s="54"/>
      <c r="F183" s="54"/>
      <c r="G183" s="36"/>
      <c r="H183" s="36" t="s">
        <v>316</v>
      </c>
      <c r="I183" s="36" t="s">
        <v>321</v>
      </c>
      <c r="J183" s="121" t="s">
        <v>240</v>
      </c>
      <c r="K183" s="121"/>
      <c r="L183" s="56" t="s">
        <v>49</v>
      </c>
      <c r="M183" s="63"/>
      <c r="N183" s="63"/>
      <c r="O183" s="74">
        <v>30.0</v>
      </c>
      <c r="P183" s="75"/>
      <c r="Q183" s="75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A184" s="24"/>
      <c r="B184" s="34">
        <v>49.0</v>
      </c>
      <c r="C184" s="31">
        <v>46031.0</v>
      </c>
      <c r="D184" s="54"/>
      <c r="E184" s="54"/>
      <c r="F184" s="54"/>
      <c r="G184" s="36"/>
      <c r="H184" s="36" t="s">
        <v>322</v>
      </c>
      <c r="I184" s="36" t="s">
        <v>323</v>
      </c>
      <c r="J184" s="121" t="s">
        <v>48</v>
      </c>
      <c r="K184" s="121"/>
      <c r="L184" s="56" t="s">
        <v>49</v>
      </c>
      <c r="M184" s="63"/>
      <c r="N184" s="63"/>
      <c r="O184" s="74">
        <v>297.0</v>
      </c>
      <c r="P184" s="75"/>
      <c r="Q184" s="75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A185" s="24"/>
      <c r="B185" s="34">
        <v>50.0</v>
      </c>
      <c r="C185" s="31">
        <v>46031.0</v>
      </c>
      <c r="D185" s="54"/>
      <c r="E185" s="54"/>
      <c r="F185" s="54"/>
      <c r="G185" s="36"/>
      <c r="H185" s="36" t="s">
        <v>246</v>
      </c>
      <c r="I185" s="36" t="s">
        <v>246</v>
      </c>
      <c r="J185" s="121" t="s">
        <v>324</v>
      </c>
      <c r="K185" s="121"/>
      <c r="L185" s="56" t="s">
        <v>84</v>
      </c>
      <c r="M185" s="63"/>
      <c r="N185" s="63"/>
      <c r="O185" s="74">
        <v>30.0</v>
      </c>
      <c r="P185" s="75"/>
      <c r="Q185" s="75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24"/>
      <c r="B186" s="34">
        <v>51.0</v>
      </c>
      <c r="C186" s="31">
        <v>46031.0</v>
      </c>
      <c r="D186" s="54"/>
      <c r="E186" s="54"/>
      <c r="F186" s="54"/>
      <c r="G186" s="36"/>
      <c r="H186" s="36" t="s">
        <v>325</v>
      </c>
      <c r="I186" s="36" t="s">
        <v>325</v>
      </c>
      <c r="J186" s="121" t="s">
        <v>326</v>
      </c>
      <c r="K186" s="121"/>
      <c r="L186" s="56" t="s">
        <v>84</v>
      </c>
      <c r="M186" s="63"/>
      <c r="N186" s="63"/>
      <c r="O186" s="74">
        <v>15.0</v>
      </c>
      <c r="P186" s="75"/>
      <c r="Q186" s="75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24"/>
      <c r="B187" s="34">
        <v>52.0</v>
      </c>
      <c r="C187" s="31">
        <v>46032.0</v>
      </c>
      <c r="D187" s="54"/>
      <c r="E187" s="54"/>
      <c r="F187" s="54"/>
      <c r="G187" s="36"/>
      <c r="H187" s="36" t="s">
        <v>327</v>
      </c>
      <c r="I187" s="36" t="s">
        <v>327</v>
      </c>
      <c r="J187" s="121" t="s">
        <v>328</v>
      </c>
      <c r="K187" s="121"/>
      <c r="L187" s="56" t="s">
        <v>84</v>
      </c>
      <c r="M187" s="63"/>
      <c r="N187" s="63"/>
      <c r="O187" s="74">
        <v>50.0</v>
      </c>
      <c r="P187" s="75"/>
      <c r="Q187" s="75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24"/>
      <c r="B188" s="34">
        <v>53.0</v>
      </c>
      <c r="C188" s="31">
        <v>46032.0</v>
      </c>
      <c r="D188" s="54"/>
      <c r="E188" s="54"/>
      <c r="F188" s="54"/>
      <c r="G188" s="36"/>
      <c r="H188" s="36" t="s">
        <v>329</v>
      </c>
      <c r="I188" s="36" t="s">
        <v>142</v>
      </c>
      <c r="J188" s="121" t="s">
        <v>48</v>
      </c>
      <c r="K188" s="121"/>
      <c r="L188" s="56" t="s">
        <v>49</v>
      </c>
      <c r="M188" s="63"/>
      <c r="N188" s="63"/>
      <c r="O188" s="74">
        <v>297.0</v>
      </c>
      <c r="P188" s="75"/>
      <c r="Q188" s="75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24"/>
      <c r="B189" s="34">
        <v>54.0</v>
      </c>
      <c r="C189" s="31">
        <v>46032.0</v>
      </c>
      <c r="D189" s="54"/>
      <c r="E189" s="54"/>
      <c r="F189" s="54"/>
      <c r="G189" s="36"/>
      <c r="H189" s="36" t="s">
        <v>330</v>
      </c>
      <c r="I189" s="36" t="s">
        <v>331</v>
      </c>
      <c r="J189" s="121" t="s">
        <v>48</v>
      </c>
      <c r="K189" s="121"/>
      <c r="L189" s="56" t="s">
        <v>49</v>
      </c>
      <c r="M189" s="63"/>
      <c r="N189" s="63"/>
      <c r="O189" s="74">
        <v>297.0</v>
      </c>
      <c r="P189" s="75"/>
      <c r="Q189" s="75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24"/>
      <c r="B190" s="34">
        <v>55.0</v>
      </c>
      <c r="C190" s="31">
        <v>46032.0</v>
      </c>
      <c r="D190" s="54"/>
      <c r="E190" s="54"/>
      <c r="F190" s="54"/>
      <c r="G190" s="36"/>
      <c r="H190" s="36" t="s">
        <v>332</v>
      </c>
      <c r="I190" s="36" t="s">
        <v>333</v>
      </c>
      <c r="J190" s="142" t="s">
        <v>122</v>
      </c>
      <c r="K190" s="142"/>
      <c r="L190" s="56" t="s">
        <v>49</v>
      </c>
      <c r="M190" s="63"/>
      <c r="N190" s="63"/>
      <c r="O190" s="74">
        <v>97.0</v>
      </c>
      <c r="P190" s="75"/>
      <c r="Q190" s="75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24"/>
      <c r="B191" s="34">
        <v>56.0</v>
      </c>
      <c r="C191" s="31">
        <v>46032.0</v>
      </c>
      <c r="D191" s="54"/>
      <c r="E191" s="54"/>
      <c r="F191" s="54"/>
      <c r="G191" s="36"/>
      <c r="H191" s="36" t="s">
        <v>334</v>
      </c>
      <c r="I191" s="36" t="s">
        <v>335</v>
      </c>
      <c r="J191" s="121" t="s">
        <v>336</v>
      </c>
      <c r="K191" s="121"/>
      <c r="L191" s="56" t="s">
        <v>49</v>
      </c>
      <c r="M191" s="63"/>
      <c r="N191" s="63"/>
      <c r="O191" s="74">
        <v>30.0</v>
      </c>
      <c r="P191" s="75"/>
      <c r="Q191" s="75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24"/>
      <c r="B192" s="34">
        <v>57.0</v>
      </c>
      <c r="C192" s="31">
        <v>46032.0</v>
      </c>
      <c r="D192" s="54"/>
      <c r="E192" s="54"/>
      <c r="F192" s="54"/>
      <c r="G192" s="36"/>
      <c r="H192" s="36" t="s">
        <v>334</v>
      </c>
      <c r="I192" s="36" t="s">
        <v>337</v>
      </c>
      <c r="J192" s="121" t="s">
        <v>338</v>
      </c>
      <c r="K192" s="121"/>
      <c r="L192" s="56" t="s">
        <v>49</v>
      </c>
      <c r="M192" s="63"/>
      <c r="N192" s="63"/>
      <c r="O192" s="74">
        <v>30.0</v>
      </c>
      <c r="P192" s="75"/>
      <c r="Q192" s="75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24"/>
      <c r="B193" s="34">
        <v>58.0</v>
      </c>
      <c r="C193" s="31">
        <v>46032.0</v>
      </c>
      <c r="D193" s="54"/>
      <c r="E193" s="54"/>
      <c r="F193" s="54"/>
      <c r="G193" s="36"/>
      <c r="H193" s="36" t="s">
        <v>339</v>
      </c>
      <c r="I193" s="36" t="s">
        <v>340</v>
      </c>
      <c r="J193" s="121" t="s">
        <v>243</v>
      </c>
      <c r="K193" s="121"/>
      <c r="L193" s="56" t="s">
        <v>49</v>
      </c>
      <c r="M193" s="63"/>
      <c r="N193" s="63"/>
      <c r="O193" s="74">
        <v>394.0</v>
      </c>
      <c r="P193" s="75"/>
      <c r="Q193" s="75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24"/>
      <c r="B194" s="34">
        <v>59.0</v>
      </c>
      <c r="C194" s="31">
        <v>46034.0</v>
      </c>
      <c r="D194" s="54"/>
      <c r="E194" s="54"/>
      <c r="F194" s="54"/>
      <c r="G194" s="36"/>
      <c r="H194" s="36" t="s">
        <v>341</v>
      </c>
      <c r="I194" s="36" t="s">
        <v>342</v>
      </c>
      <c r="J194" s="121" t="s">
        <v>243</v>
      </c>
      <c r="K194" s="121"/>
      <c r="L194" s="56" t="s">
        <v>49</v>
      </c>
      <c r="M194" s="63"/>
      <c r="N194" s="63"/>
      <c r="O194" s="74">
        <v>394.0</v>
      </c>
      <c r="P194" s="75"/>
      <c r="Q194" s="75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A195" s="24"/>
      <c r="B195" s="34">
        <v>60.0</v>
      </c>
      <c r="C195" s="31">
        <v>46034.0</v>
      </c>
      <c r="D195" s="54"/>
      <c r="E195" s="54"/>
      <c r="F195" s="54"/>
      <c r="G195" s="36"/>
      <c r="H195" s="36" t="s">
        <v>343</v>
      </c>
      <c r="I195" s="36" t="s">
        <v>343</v>
      </c>
      <c r="J195" s="121" t="s">
        <v>240</v>
      </c>
      <c r="K195" s="121"/>
      <c r="L195" s="56" t="s">
        <v>49</v>
      </c>
      <c r="M195" s="63"/>
      <c r="N195" s="63"/>
      <c r="O195" s="74">
        <v>30.0</v>
      </c>
      <c r="P195" s="75"/>
      <c r="Q195" s="75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A196" s="24"/>
      <c r="B196" s="34">
        <v>61.0</v>
      </c>
      <c r="C196" s="31">
        <v>46034.0</v>
      </c>
      <c r="D196" s="54"/>
      <c r="E196" s="54"/>
      <c r="F196" s="54"/>
      <c r="G196" s="36"/>
      <c r="H196" s="36" t="s">
        <v>344</v>
      </c>
      <c r="I196" s="36" t="s">
        <v>344</v>
      </c>
      <c r="J196" s="121" t="s">
        <v>283</v>
      </c>
      <c r="K196" s="121"/>
      <c r="L196" s="56" t="s">
        <v>49</v>
      </c>
      <c r="M196" s="63"/>
      <c r="N196" s="63"/>
      <c r="O196" s="74">
        <v>364.0</v>
      </c>
      <c r="P196" s="75"/>
      <c r="Q196" s="75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A197" s="24"/>
      <c r="B197" s="34">
        <v>62.0</v>
      </c>
      <c r="C197" s="31">
        <v>46034.0</v>
      </c>
      <c r="D197" s="54"/>
      <c r="E197" s="54"/>
      <c r="F197" s="54"/>
      <c r="G197" s="36"/>
      <c r="H197" s="36" t="s">
        <v>345</v>
      </c>
      <c r="I197" s="36" t="s">
        <v>346</v>
      </c>
      <c r="J197" s="121" t="s">
        <v>243</v>
      </c>
      <c r="K197" s="121"/>
      <c r="L197" s="56" t="s">
        <v>49</v>
      </c>
      <c r="M197" s="63"/>
      <c r="N197" s="63"/>
      <c r="O197" s="74">
        <v>300.0</v>
      </c>
      <c r="P197" s="75"/>
      <c r="Q197" s="75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A198" s="24"/>
      <c r="B198" s="34">
        <v>63.0</v>
      </c>
      <c r="C198" s="31">
        <v>46034.0</v>
      </c>
      <c r="D198" s="54"/>
      <c r="E198" s="54"/>
      <c r="F198" s="54"/>
      <c r="G198" s="36"/>
      <c r="H198" s="36" t="s">
        <v>99</v>
      </c>
      <c r="I198" s="36" t="s">
        <v>100</v>
      </c>
      <c r="J198" s="121" t="s">
        <v>48</v>
      </c>
      <c r="K198" s="121"/>
      <c r="L198" s="56" t="s">
        <v>49</v>
      </c>
      <c r="M198" s="63"/>
      <c r="N198" s="63"/>
      <c r="O198" s="74">
        <v>297.0</v>
      </c>
      <c r="P198" s="75"/>
      <c r="Q198" s="75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24"/>
      <c r="B199" s="34">
        <v>64.0</v>
      </c>
      <c r="C199" s="31">
        <v>46034.0</v>
      </c>
      <c r="D199" s="54"/>
      <c r="E199" s="54"/>
      <c r="F199" s="54"/>
      <c r="G199" s="36"/>
      <c r="H199" s="36" t="s">
        <v>347</v>
      </c>
      <c r="I199" s="36" t="s">
        <v>348</v>
      </c>
      <c r="J199" s="121" t="s">
        <v>349</v>
      </c>
      <c r="K199" s="121"/>
      <c r="L199" s="56" t="s">
        <v>49</v>
      </c>
      <c r="M199" s="63"/>
      <c r="N199" s="63"/>
      <c r="O199" s="74">
        <v>261.0</v>
      </c>
      <c r="P199" s="75"/>
      <c r="Q199" s="75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24"/>
      <c r="B200" s="34">
        <v>65.0</v>
      </c>
      <c r="C200" s="31">
        <v>46034.0</v>
      </c>
      <c r="D200" s="54"/>
      <c r="E200" s="54"/>
      <c r="F200" s="54"/>
      <c r="G200" s="36"/>
      <c r="H200" s="36" t="s">
        <v>347</v>
      </c>
      <c r="I200" s="36" t="s">
        <v>350</v>
      </c>
      <c r="J200" s="121" t="s">
        <v>349</v>
      </c>
      <c r="K200" s="121"/>
      <c r="L200" s="56" t="s">
        <v>49</v>
      </c>
      <c r="M200" s="63"/>
      <c r="N200" s="63"/>
      <c r="O200" s="74">
        <v>261.0</v>
      </c>
      <c r="P200" s="75"/>
      <c r="Q200" s="75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24"/>
      <c r="B201" s="34">
        <v>66.0</v>
      </c>
      <c r="C201" s="31">
        <v>46035.0</v>
      </c>
      <c r="D201" s="54"/>
      <c r="E201" s="54"/>
      <c r="F201" s="54"/>
      <c r="G201" s="36"/>
      <c r="H201" s="36" t="s">
        <v>351</v>
      </c>
      <c r="I201" s="36" t="s">
        <v>352</v>
      </c>
      <c r="J201" s="121" t="s">
        <v>243</v>
      </c>
      <c r="K201" s="121"/>
      <c r="L201" s="56" t="s">
        <v>49</v>
      </c>
      <c r="M201" s="63"/>
      <c r="N201" s="63"/>
      <c r="O201" s="74">
        <v>394.0</v>
      </c>
      <c r="P201" s="75"/>
      <c r="Q201" s="75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24"/>
      <c r="B202" s="34">
        <v>67.0</v>
      </c>
      <c r="C202" s="31">
        <v>46035.0</v>
      </c>
      <c r="D202" s="54"/>
      <c r="E202" s="54"/>
      <c r="F202" s="54"/>
      <c r="G202" s="36"/>
      <c r="H202" s="36" t="s">
        <v>316</v>
      </c>
      <c r="I202" s="36" t="s">
        <v>353</v>
      </c>
      <c r="J202" s="121" t="s">
        <v>48</v>
      </c>
      <c r="K202" s="121"/>
      <c r="L202" s="56" t="s">
        <v>49</v>
      </c>
      <c r="M202" s="63"/>
      <c r="N202" s="63"/>
      <c r="O202" s="74">
        <v>294.0</v>
      </c>
      <c r="P202" s="75"/>
      <c r="Q202" s="75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24"/>
      <c r="B203" s="34">
        <v>68.0</v>
      </c>
      <c r="C203" s="31">
        <v>46035.0</v>
      </c>
      <c r="D203" s="54"/>
      <c r="E203" s="54"/>
      <c r="F203" s="54"/>
      <c r="G203" s="36"/>
      <c r="H203" s="36" t="s">
        <v>354</v>
      </c>
      <c r="I203" s="36" t="s">
        <v>355</v>
      </c>
      <c r="J203" s="121" t="s">
        <v>243</v>
      </c>
      <c r="K203" s="121"/>
      <c r="L203" s="56" t="s">
        <v>49</v>
      </c>
      <c r="M203" s="63"/>
      <c r="N203" s="63"/>
      <c r="O203" s="74">
        <v>200.0</v>
      </c>
      <c r="P203" s="75"/>
      <c r="Q203" s="75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24"/>
      <c r="B204" s="34">
        <v>69.0</v>
      </c>
      <c r="C204" s="31">
        <v>46035.0</v>
      </c>
      <c r="D204" s="54"/>
      <c r="E204" s="54"/>
      <c r="F204" s="54"/>
      <c r="G204" s="36"/>
      <c r="H204" s="36" t="s">
        <v>345</v>
      </c>
      <c r="I204" s="36" t="s">
        <v>346</v>
      </c>
      <c r="J204" s="121" t="s">
        <v>356</v>
      </c>
      <c r="K204" s="121"/>
      <c r="L204" s="56" t="s">
        <v>49</v>
      </c>
      <c r="M204" s="63"/>
      <c r="N204" s="63"/>
      <c r="O204" s="74">
        <v>94.0</v>
      </c>
      <c r="P204" s="75"/>
      <c r="Q204" s="75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24"/>
      <c r="B205" s="34">
        <v>70.0</v>
      </c>
      <c r="C205" s="31">
        <v>46035.0</v>
      </c>
      <c r="D205" s="54"/>
      <c r="E205" s="54"/>
      <c r="F205" s="54"/>
      <c r="G205" s="36"/>
      <c r="H205" s="36" t="s">
        <v>307</v>
      </c>
      <c r="I205" s="36" t="s">
        <v>307</v>
      </c>
      <c r="J205" s="121" t="s">
        <v>357</v>
      </c>
      <c r="K205" s="121"/>
      <c r="L205" s="56" t="s">
        <v>49</v>
      </c>
      <c r="M205" s="63"/>
      <c r="N205" s="63"/>
      <c r="O205" s="74">
        <v>5.0</v>
      </c>
      <c r="P205" s="75"/>
      <c r="Q205" s="75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24"/>
      <c r="B206" s="34">
        <v>71.0</v>
      </c>
      <c r="C206" s="31">
        <v>46035.0</v>
      </c>
      <c r="D206" s="54"/>
      <c r="E206" s="54"/>
      <c r="F206" s="54"/>
      <c r="G206" s="36"/>
      <c r="H206" s="36" t="s">
        <v>358</v>
      </c>
      <c r="I206" s="36" t="s">
        <v>359</v>
      </c>
      <c r="J206" s="121" t="s">
        <v>243</v>
      </c>
      <c r="K206" s="121"/>
      <c r="L206" s="56" t="s">
        <v>49</v>
      </c>
      <c r="M206" s="63"/>
      <c r="N206" s="63"/>
      <c r="O206" s="74">
        <v>394.0</v>
      </c>
      <c r="P206" s="75"/>
      <c r="Q206" s="75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24"/>
      <c r="B207" s="34">
        <v>72.0</v>
      </c>
      <c r="C207" s="31">
        <v>46035.0</v>
      </c>
      <c r="D207" s="54"/>
      <c r="E207" s="54"/>
      <c r="F207" s="54"/>
      <c r="G207" s="36"/>
      <c r="H207" s="36" t="s">
        <v>360</v>
      </c>
      <c r="I207" s="36" t="s">
        <v>360</v>
      </c>
      <c r="J207" s="121" t="s">
        <v>240</v>
      </c>
      <c r="K207" s="121"/>
      <c r="L207" s="56" t="s">
        <v>49</v>
      </c>
      <c r="M207" s="63"/>
      <c r="N207" s="63"/>
      <c r="O207" s="74">
        <v>30.0</v>
      </c>
      <c r="P207" s="75"/>
      <c r="Q207" s="75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24"/>
      <c r="B208" s="34">
        <v>73.0</v>
      </c>
      <c r="C208" s="31">
        <v>46037.0</v>
      </c>
      <c r="D208" s="54"/>
      <c r="E208" s="54"/>
      <c r="F208" s="54"/>
      <c r="G208" s="36"/>
      <c r="H208" s="36" t="s">
        <v>101</v>
      </c>
      <c r="I208" s="36" t="s">
        <v>361</v>
      </c>
      <c r="J208" s="121" t="s">
        <v>362</v>
      </c>
      <c r="K208" s="121"/>
      <c r="L208" s="56" t="s">
        <v>84</v>
      </c>
      <c r="M208" s="63"/>
      <c r="N208" s="63"/>
      <c r="O208" s="74">
        <v>45.0</v>
      </c>
      <c r="P208" s="75"/>
      <c r="Q208" s="75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24"/>
      <c r="B209" s="34">
        <v>74.0</v>
      </c>
      <c r="C209" s="31">
        <v>46037.0</v>
      </c>
      <c r="D209" s="54"/>
      <c r="E209" s="54"/>
      <c r="F209" s="54"/>
      <c r="G209" s="36"/>
      <c r="H209" s="36" t="s">
        <v>363</v>
      </c>
      <c r="I209" s="36" t="s">
        <v>363</v>
      </c>
      <c r="J209" s="121" t="s">
        <v>364</v>
      </c>
      <c r="K209" s="121"/>
      <c r="L209" s="56" t="s">
        <v>84</v>
      </c>
      <c r="M209" s="63"/>
      <c r="N209" s="63"/>
      <c r="O209" s="74">
        <v>45.0</v>
      </c>
      <c r="P209" s="75"/>
      <c r="Q209" s="75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24"/>
      <c r="B210" s="34">
        <v>75.0</v>
      </c>
      <c r="C210" s="31">
        <v>46037.0</v>
      </c>
      <c r="D210" s="54"/>
      <c r="E210" s="54"/>
      <c r="F210" s="54"/>
      <c r="G210" s="36"/>
      <c r="H210" s="36" t="s">
        <v>365</v>
      </c>
      <c r="I210" s="36" t="s">
        <v>366</v>
      </c>
      <c r="J210" s="121" t="s">
        <v>243</v>
      </c>
      <c r="K210" s="121"/>
      <c r="L210" s="56" t="s">
        <v>49</v>
      </c>
      <c r="M210" s="63"/>
      <c r="N210" s="63"/>
      <c r="O210" s="74">
        <v>100.0</v>
      </c>
      <c r="P210" s="75"/>
      <c r="Q210" s="75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24"/>
      <c r="B211" s="34">
        <v>76.0</v>
      </c>
      <c r="C211" s="31">
        <v>46038.0</v>
      </c>
      <c r="D211" s="54"/>
      <c r="E211" s="54"/>
      <c r="F211" s="54"/>
      <c r="G211" s="36"/>
      <c r="H211" s="36" t="s">
        <v>367</v>
      </c>
      <c r="I211" s="36" t="s">
        <v>337</v>
      </c>
      <c r="J211" s="121" t="s">
        <v>283</v>
      </c>
      <c r="K211" s="121"/>
      <c r="L211" s="56" t="s">
        <v>49</v>
      </c>
      <c r="M211" s="63"/>
      <c r="N211" s="63"/>
      <c r="O211" s="74">
        <v>323.0</v>
      </c>
      <c r="P211" s="75"/>
      <c r="Q211" s="75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24"/>
      <c r="B212" s="34">
        <v>77.0</v>
      </c>
      <c r="C212" s="31">
        <v>46038.0</v>
      </c>
      <c r="D212" s="54"/>
      <c r="E212" s="54"/>
      <c r="F212" s="54"/>
      <c r="G212" s="36"/>
      <c r="H212" s="36" t="s">
        <v>367</v>
      </c>
      <c r="I212" s="36" t="s">
        <v>335</v>
      </c>
      <c r="J212" s="121" t="s">
        <v>283</v>
      </c>
      <c r="K212" s="121"/>
      <c r="L212" s="56" t="s">
        <v>49</v>
      </c>
      <c r="M212" s="63"/>
      <c r="N212" s="63"/>
      <c r="O212" s="74">
        <v>323.0</v>
      </c>
      <c r="P212" s="75"/>
      <c r="Q212" s="75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24"/>
      <c r="B213" s="34">
        <v>78.0</v>
      </c>
      <c r="C213" s="31">
        <v>46038.0</v>
      </c>
      <c r="D213" s="54"/>
      <c r="E213" s="54"/>
      <c r="F213" s="54"/>
      <c r="G213" s="36"/>
      <c r="H213" s="36" t="s">
        <v>368</v>
      </c>
      <c r="I213" s="36" t="s">
        <v>366</v>
      </c>
      <c r="J213" s="121" t="s">
        <v>48</v>
      </c>
      <c r="K213" s="121"/>
      <c r="L213" s="56" t="s">
        <v>49</v>
      </c>
      <c r="M213" s="63"/>
      <c r="N213" s="63"/>
      <c r="O213" s="74">
        <v>200.0</v>
      </c>
      <c r="P213" s="75"/>
      <c r="Q213" s="75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24"/>
      <c r="B214" s="34">
        <v>79.0</v>
      </c>
      <c r="C214" s="31">
        <v>46038.0</v>
      </c>
      <c r="D214" s="54"/>
      <c r="E214" s="54"/>
      <c r="F214" s="54"/>
      <c r="G214" s="36"/>
      <c r="H214" s="36" t="s">
        <v>99</v>
      </c>
      <c r="I214" s="36" t="s">
        <v>100</v>
      </c>
      <c r="J214" s="121" t="s">
        <v>369</v>
      </c>
      <c r="K214" s="121"/>
      <c r="L214" s="56" t="s">
        <v>84</v>
      </c>
      <c r="M214" s="63"/>
      <c r="N214" s="63"/>
      <c r="O214" s="74">
        <v>129.0</v>
      </c>
      <c r="P214" s="75"/>
      <c r="Q214" s="75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24"/>
      <c r="B215" s="34">
        <v>80.0</v>
      </c>
      <c r="C215" s="31">
        <v>46038.0</v>
      </c>
      <c r="D215" s="54"/>
      <c r="E215" s="54"/>
      <c r="F215" s="54"/>
      <c r="G215" s="36"/>
      <c r="H215" s="36" t="s">
        <v>370</v>
      </c>
      <c r="I215" s="36" t="s">
        <v>371</v>
      </c>
      <c r="J215" s="121" t="s">
        <v>122</v>
      </c>
      <c r="K215" s="121"/>
      <c r="L215" s="56" t="s">
        <v>49</v>
      </c>
      <c r="M215" s="63"/>
      <c r="N215" s="63"/>
      <c r="O215" s="74">
        <v>97.0</v>
      </c>
      <c r="P215" s="75"/>
      <c r="Q215" s="75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24"/>
      <c r="B216" s="34">
        <v>81.0</v>
      </c>
      <c r="C216" s="31">
        <v>46039.0</v>
      </c>
      <c r="D216" s="54"/>
      <c r="E216" s="54"/>
      <c r="F216" s="54"/>
      <c r="G216" s="36"/>
      <c r="H216" s="36" t="s">
        <v>372</v>
      </c>
      <c r="I216" s="36" t="s">
        <v>373</v>
      </c>
      <c r="J216" s="121" t="s">
        <v>243</v>
      </c>
      <c r="K216" s="121"/>
      <c r="L216" s="56" t="s">
        <v>49</v>
      </c>
      <c r="M216" s="63"/>
      <c r="N216" s="63"/>
      <c r="O216" s="74">
        <v>394.0</v>
      </c>
      <c r="P216" s="75"/>
      <c r="Q216" s="75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A217" s="24"/>
      <c r="B217" s="34">
        <v>82.0</v>
      </c>
      <c r="C217" s="31">
        <v>46039.0</v>
      </c>
      <c r="D217" s="54"/>
      <c r="E217" s="54"/>
      <c r="F217" s="54"/>
      <c r="G217" s="36"/>
      <c r="H217" s="36" t="s">
        <v>374</v>
      </c>
      <c r="I217" s="36" t="s">
        <v>374</v>
      </c>
      <c r="J217" s="36" t="s">
        <v>375</v>
      </c>
      <c r="K217" s="36"/>
      <c r="L217" s="56" t="s">
        <v>84</v>
      </c>
      <c r="M217" s="63"/>
      <c r="N217" s="63"/>
      <c r="O217" s="74">
        <v>25.0</v>
      </c>
      <c r="P217" s="75"/>
      <c r="Q217" s="75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A218" s="24"/>
      <c r="B218" s="34">
        <v>83.0</v>
      </c>
      <c r="C218" s="31">
        <v>46039.0</v>
      </c>
      <c r="D218" s="54"/>
      <c r="E218" s="54"/>
      <c r="F218" s="54"/>
      <c r="G218" s="36"/>
      <c r="H218" s="36" t="s">
        <v>161</v>
      </c>
      <c r="I218" s="36" t="s">
        <v>162</v>
      </c>
      <c r="J218" s="121" t="s">
        <v>48</v>
      </c>
      <c r="K218" s="121"/>
      <c r="L218" s="56" t="s">
        <v>49</v>
      </c>
      <c r="M218" s="63"/>
      <c r="N218" s="63"/>
      <c r="O218" s="74">
        <v>297.0</v>
      </c>
      <c r="P218" s="75"/>
      <c r="Q218" s="75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A219" s="24"/>
      <c r="B219" s="34">
        <v>84.0</v>
      </c>
      <c r="C219" s="31">
        <v>46039.0</v>
      </c>
      <c r="D219" s="54"/>
      <c r="E219" s="54"/>
      <c r="F219" s="54"/>
      <c r="G219" s="36"/>
      <c r="H219" s="36" t="s">
        <v>101</v>
      </c>
      <c r="I219" s="36" t="s">
        <v>361</v>
      </c>
      <c r="J219" s="121" t="s">
        <v>349</v>
      </c>
      <c r="K219" s="121"/>
      <c r="L219" s="56" t="s">
        <v>49</v>
      </c>
      <c r="M219" s="63"/>
      <c r="N219" s="63"/>
      <c r="O219" s="74">
        <v>250.0</v>
      </c>
      <c r="P219" s="75"/>
      <c r="Q219" s="60" t="s">
        <v>253</v>
      </c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A220" s="24"/>
      <c r="B220" s="34">
        <v>85.0</v>
      </c>
      <c r="C220" s="31">
        <v>46039.0</v>
      </c>
      <c r="D220" s="54"/>
      <c r="E220" s="54"/>
      <c r="F220" s="54"/>
      <c r="G220" s="36"/>
      <c r="H220" s="36" t="s">
        <v>101</v>
      </c>
      <c r="I220" s="36" t="s">
        <v>376</v>
      </c>
      <c r="J220" s="121" t="s">
        <v>349</v>
      </c>
      <c r="K220" s="121"/>
      <c r="L220" s="56" t="s">
        <v>49</v>
      </c>
      <c r="M220" s="63"/>
      <c r="N220" s="63"/>
      <c r="O220" s="74">
        <v>250.0</v>
      </c>
      <c r="P220" s="75"/>
      <c r="Q220" s="60" t="s">
        <v>253</v>
      </c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A221" s="24"/>
      <c r="B221" s="34">
        <v>86.0</v>
      </c>
      <c r="C221" s="31">
        <v>46039.0</v>
      </c>
      <c r="D221" s="54"/>
      <c r="E221" s="54"/>
      <c r="F221" s="54"/>
      <c r="G221" s="36"/>
      <c r="H221" s="36" t="s">
        <v>377</v>
      </c>
      <c r="I221" s="36" t="s">
        <v>378</v>
      </c>
      <c r="J221" s="121" t="s">
        <v>48</v>
      </c>
      <c r="K221" s="121"/>
      <c r="L221" s="56" t="s">
        <v>49</v>
      </c>
      <c r="M221" s="63"/>
      <c r="N221" s="63"/>
      <c r="O221" s="74">
        <v>297.0</v>
      </c>
      <c r="P221" s="75"/>
      <c r="Q221" s="60" t="s">
        <v>253</v>
      </c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A222" s="24"/>
      <c r="B222" s="34">
        <v>87.0</v>
      </c>
      <c r="C222" s="31">
        <v>46041.0</v>
      </c>
      <c r="D222" s="54"/>
      <c r="E222" s="54"/>
      <c r="F222" s="54"/>
      <c r="G222" s="36"/>
      <c r="H222" s="36" t="s">
        <v>298</v>
      </c>
      <c r="I222" s="36" t="s">
        <v>298</v>
      </c>
      <c r="J222" s="36" t="s">
        <v>379</v>
      </c>
      <c r="K222" s="36"/>
      <c r="L222" s="56" t="s">
        <v>84</v>
      </c>
      <c r="M222" s="63"/>
      <c r="N222" s="63"/>
      <c r="O222" s="74">
        <v>20.0</v>
      </c>
      <c r="P222" s="75"/>
      <c r="Q222" s="75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A223" s="24"/>
      <c r="B223" s="34">
        <v>88.0</v>
      </c>
      <c r="C223" s="31">
        <v>46041.0</v>
      </c>
      <c r="D223" s="54"/>
      <c r="E223" s="54"/>
      <c r="F223" s="54"/>
      <c r="G223" s="36"/>
      <c r="H223" s="36" t="s">
        <v>380</v>
      </c>
      <c r="I223" s="36" t="s">
        <v>381</v>
      </c>
      <c r="J223" s="36" t="s">
        <v>240</v>
      </c>
      <c r="K223" s="36"/>
      <c r="L223" s="56" t="s">
        <v>49</v>
      </c>
      <c r="M223" s="63"/>
      <c r="N223" s="63"/>
      <c r="O223" s="74">
        <v>30.0</v>
      </c>
      <c r="P223" s="75"/>
      <c r="Q223" s="75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A224" s="24"/>
      <c r="B224" s="34">
        <v>89.0</v>
      </c>
      <c r="C224" s="31">
        <v>46041.0</v>
      </c>
      <c r="D224" s="54"/>
      <c r="E224" s="54"/>
      <c r="F224" s="54"/>
      <c r="G224" s="36"/>
      <c r="H224" s="36" t="s">
        <v>382</v>
      </c>
      <c r="I224" s="36" t="s">
        <v>382</v>
      </c>
      <c r="J224" s="36" t="s">
        <v>255</v>
      </c>
      <c r="K224" s="36"/>
      <c r="L224" s="56" t="s">
        <v>49</v>
      </c>
      <c r="M224" s="63"/>
      <c r="N224" s="63"/>
      <c r="O224" s="74">
        <v>67.0</v>
      </c>
      <c r="P224" s="75"/>
      <c r="Q224" s="75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A225" s="24"/>
      <c r="B225" s="34">
        <v>90.0</v>
      </c>
      <c r="C225" s="31">
        <v>46041.0</v>
      </c>
      <c r="D225" s="54"/>
      <c r="E225" s="54"/>
      <c r="F225" s="54"/>
      <c r="G225" s="36"/>
      <c r="H225" s="36" t="s">
        <v>383</v>
      </c>
      <c r="I225" s="36" t="s">
        <v>384</v>
      </c>
      <c r="J225" s="121" t="s">
        <v>243</v>
      </c>
      <c r="K225" s="121"/>
      <c r="L225" s="56" t="s">
        <v>49</v>
      </c>
      <c r="M225" s="63"/>
      <c r="N225" s="63"/>
      <c r="O225" s="74">
        <v>394.0</v>
      </c>
      <c r="P225" s="75"/>
      <c r="Q225" s="75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A226" s="24"/>
      <c r="B226" s="34">
        <v>91.0</v>
      </c>
      <c r="C226" s="31">
        <v>46042.0</v>
      </c>
      <c r="D226" s="54"/>
      <c r="E226" s="54"/>
      <c r="F226" s="54"/>
      <c r="G226" s="36"/>
      <c r="H226" s="36" t="s">
        <v>385</v>
      </c>
      <c r="I226" s="36" t="s">
        <v>311</v>
      </c>
      <c r="J226" s="36" t="s">
        <v>255</v>
      </c>
      <c r="K226" s="36"/>
      <c r="L226" s="56" t="s">
        <v>49</v>
      </c>
      <c r="M226" s="63"/>
      <c r="N226" s="63"/>
      <c r="O226" s="74">
        <v>67.0</v>
      </c>
      <c r="P226" s="75"/>
      <c r="Q226" s="75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A227" s="24"/>
      <c r="B227" s="34">
        <v>92.0</v>
      </c>
      <c r="C227" s="31">
        <v>46043.0</v>
      </c>
      <c r="D227" s="54"/>
      <c r="E227" s="54"/>
      <c r="F227" s="54"/>
      <c r="G227" s="36"/>
      <c r="H227" s="36" t="s">
        <v>386</v>
      </c>
      <c r="I227" s="36" t="s">
        <v>387</v>
      </c>
      <c r="J227" s="36" t="s">
        <v>240</v>
      </c>
      <c r="K227" s="36"/>
      <c r="L227" s="56" t="s">
        <v>49</v>
      </c>
      <c r="M227" s="63"/>
      <c r="N227" s="63"/>
      <c r="O227" s="74">
        <v>30.0</v>
      </c>
      <c r="P227" s="75"/>
      <c r="Q227" s="75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A228" s="24"/>
      <c r="B228" s="34">
        <v>93.0</v>
      </c>
      <c r="C228" s="31">
        <v>46043.0</v>
      </c>
      <c r="D228" s="54"/>
      <c r="E228" s="54"/>
      <c r="F228" s="54"/>
      <c r="G228" s="36"/>
      <c r="H228" s="36" t="s">
        <v>388</v>
      </c>
      <c r="I228" s="36" t="s">
        <v>389</v>
      </c>
      <c r="J228" s="36" t="s">
        <v>390</v>
      </c>
      <c r="K228" s="36"/>
      <c r="L228" s="56" t="s">
        <v>49</v>
      </c>
      <c r="M228" s="63"/>
      <c r="N228" s="63"/>
      <c r="O228" s="74">
        <v>194.0</v>
      </c>
      <c r="P228" s="75"/>
      <c r="Q228" s="75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A229" s="24"/>
      <c r="B229" s="34">
        <v>94.0</v>
      </c>
      <c r="C229" s="31">
        <v>46043.0</v>
      </c>
      <c r="D229" s="54"/>
      <c r="E229" s="54"/>
      <c r="F229" s="54"/>
      <c r="G229" s="36"/>
      <c r="H229" s="36" t="s">
        <v>391</v>
      </c>
      <c r="I229" s="36" t="s">
        <v>392</v>
      </c>
      <c r="J229" s="121" t="s">
        <v>48</v>
      </c>
      <c r="K229" s="121"/>
      <c r="L229" s="56" t="s">
        <v>49</v>
      </c>
      <c r="M229" s="63"/>
      <c r="N229" s="63"/>
      <c r="O229" s="74">
        <v>297.0</v>
      </c>
      <c r="P229" s="75"/>
      <c r="Q229" s="75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24"/>
      <c r="B230" s="34">
        <v>95.0</v>
      </c>
      <c r="C230" s="31">
        <v>46043.0</v>
      </c>
      <c r="D230" s="54"/>
      <c r="E230" s="54"/>
      <c r="F230" s="54"/>
      <c r="G230" s="36"/>
      <c r="H230" s="36" t="s">
        <v>307</v>
      </c>
      <c r="I230" s="36" t="s">
        <v>307</v>
      </c>
      <c r="J230" s="121" t="s">
        <v>48</v>
      </c>
      <c r="K230" s="121"/>
      <c r="L230" s="56" t="s">
        <v>49</v>
      </c>
      <c r="M230" s="63"/>
      <c r="N230" s="63"/>
      <c r="O230" s="74">
        <v>297.0</v>
      </c>
      <c r="P230" s="75"/>
      <c r="Q230" s="60" t="s">
        <v>253</v>
      </c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24"/>
      <c r="B231" s="34">
        <v>96.0</v>
      </c>
      <c r="C231" s="31">
        <v>46044.0</v>
      </c>
      <c r="D231" s="54"/>
      <c r="E231" s="54"/>
      <c r="F231" s="54"/>
      <c r="G231" s="36"/>
      <c r="H231" s="36" t="s">
        <v>393</v>
      </c>
      <c r="I231" s="36" t="s">
        <v>393</v>
      </c>
      <c r="J231" s="36" t="s">
        <v>394</v>
      </c>
      <c r="K231" s="36"/>
      <c r="L231" s="56" t="s">
        <v>84</v>
      </c>
      <c r="M231" s="63"/>
      <c r="N231" s="63"/>
      <c r="O231" s="74">
        <v>189.0</v>
      </c>
      <c r="P231" s="75"/>
      <c r="Q231" s="75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A232" s="24"/>
      <c r="B232" s="34">
        <v>97.0</v>
      </c>
      <c r="C232" s="31">
        <v>46044.0</v>
      </c>
      <c r="D232" s="54"/>
      <c r="E232" s="54"/>
      <c r="F232" s="54"/>
      <c r="G232" s="36"/>
      <c r="H232" s="36" t="s">
        <v>395</v>
      </c>
      <c r="I232" s="36" t="s">
        <v>395</v>
      </c>
      <c r="J232" s="36" t="s">
        <v>396</v>
      </c>
      <c r="K232" s="36"/>
      <c r="L232" s="56" t="s">
        <v>84</v>
      </c>
      <c r="M232" s="63"/>
      <c r="N232" s="63"/>
      <c r="O232" s="74">
        <v>315.0</v>
      </c>
      <c r="P232" s="75"/>
      <c r="Q232" s="75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A233" s="24"/>
      <c r="B233" s="34">
        <v>98.0</v>
      </c>
      <c r="C233" s="31">
        <v>46044.0</v>
      </c>
      <c r="D233" s="54"/>
      <c r="E233" s="54"/>
      <c r="F233" s="54"/>
      <c r="G233" s="36"/>
      <c r="H233" s="36" t="s">
        <v>397</v>
      </c>
      <c r="I233" s="36" t="s">
        <v>397</v>
      </c>
      <c r="J233" s="121" t="s">
        <v>243</v>
      </c>
      <c r="K233" s="121"/>
      <c r="L233" s="56" t="s">
        <v>49</v>
      </c>
      <c r="M233" s="63"/>
      <c r="N233" s="63"/>
      <c r="O233" s="74">
        <v>394.0</v>
      </c>
      <c r="P233" s="74"/>
      <c r="Q233" s="74"/>
      <c r="R233" s="14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A234" s="24"/>
      <c r="B234" s="34">
        <v>99.0</v>
      </c>
      <c r="C234" s="31">
        <v>46044.0</v>
      </c>
      <c r="D234" s="54"/>
      <c r="E234" s="54"/>
      <c r="F234" s="54"/>
      <c r="G234" s="36"/>
      <c r="H234" s="36" t="s">
        <v>380</v>
      </c>
      <c r="I234" s="36" t="s">
        <v>381</v>
      </c>
      <c r="J234" s="121" t="s">
        <v>283</v>
      </c>
      <c r="K234" s="121"/>
      <c r="L234" s="56" t="s">
        <v>49</v>
      </c>
      <c r="M234" s="63"/>
      <c r="N234" s="63"/>
      <c r="O234" s="74">
        <v>364.0</v>
      </c>
      <c r="P234" s="74"/>
      <c r="Q234" s="74"/>
      <c r="R234" s="14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A235" s="24"/>
      <c r="B235" s="34">
        <v>100.0</v>
      </c>
      <c r="C235" s="31">
        <v>46044.0</v>
      </c>
      <c r="D235" s="54"/>
      <c r="E235" s="54"/>
      <c r="F235" s="54"/>
      <c r="G235" s="36"/>
      <c r="H235" s="36" t="s">
        <v>155</v>
      </c>
      <c r="I235" s="36" t="s">
        <v>156</v>
      </c>
      <c r="J235" s="121" t="s">
        <v>48</v>
      </c>
      <c r="K235" s="121"/>
      <c r="L235" s="56" t="s">
        <v>49</v>
      </c>
      <c r="M235" s="63"/>
      <c r="N235" s="63"/>
      <c r="O235" s="74">
        <v>297.0</v>
      </c>
      <c r="P235" s="74"/>
      <c r="Q235" s="74"/>
      <c r="R235" s="14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A236" s="24"/>
      <c r="B236" s="34">
        <v>101.0</v>
      </c>
      <c r="C236" s="31">
        <v>46045.0</v>
      </c>
      <c r="D236" s="54"/>
      <c r="E236" s="54"/>
      <c r="F236" s="54"/>
      <c r="G236" s="36"/>
      <c r="H236" s="36" t="s">
        <v>398</v>
      </c>
      <c r="I236" s="36" t="s">
        <v>398</v>
      </c>
      <c r="J236" s="36" t="s">
        <v>399</v>
      </c>
      <c r="K236" s="36"/>
      <c r="L236" s="56" t="s">
        <v>84</v>
      </c>
      <c r="M236" s="63"/>
      <c r="N236" s="63"/>
      <c r="O236" s="74">
        <v>70.0</v>
      </c>
      <c r="P236" s="74"/>
      <c r="Q236" s="74"/>
      <c r="R236" s="14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A237" s="24"/>
      <c r="B237" s="34">
        <v>102.0</v>
      </c>
      <c r="C237" s="31">
        <v>46045.0</v>
      </c>
      <c r="D237" s="54"/>
      <c r="E237" s="54"/>
      <c r="F237" s="54"/>
      <c r="G237" s="36"/>
      <c r="H237" s="36" t="s">
        <v>398</v>
      </c>
      <c r="I237" s="36" t="s">
        <v>398</v>
      </c>
      <c r="J237" s="36" t="s">
        <v>400</v>
      </c>
      <c r="K237" s="36"/>
      <c r="L237" s="56" t="s">
        <v>84</v>
      </c>
      <c r="M237" s="63"/>
      <c r="N237" s="63"/>
      <c r="O237" s="74">
        <v>290.0</v>
      </c>
      <c r="P237" s="74"/>
      <c r="Q237" s="74"/>
      <c r="R237" s="14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A238" s="24"/>
      <c r="B238" s="34">
        <v>103.0</v>
      </c>
      <c r="C238" s="31">
        <v>46045.0</v>
      </c>
      <c r="D238" s="54"/>
      <c r="E238" s="54"/>
      <c r="F238" s="54"/>
      <c r="G238" s="36"/>
      <c r="H238" s="36" t="s">
        <v>401</v>
      </c>
      <c r="I238" s="36" t="s">
        <v>402</v>
      </c>
      <c r="J238" s="36" t="s">
        <v>122</v>
      </c>
      <c r="K238" s="36"/>
      <c r="L238" s="56" t="s">
        <v>49</v>
      </c>
      <c r="M238" s="63"/>
      <c r="N238" s="63"/>
      <c r="O238" s="74">
        <v>97.0</v>
      </c>
      <c r="P238" s="74"/>
      <c r="Q238" s="74"/>
      <c r="R238" s="14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A239" s="24"/>
      <c r="B239" s="34">
        <v>104.0</v>
      </c>
      <c r="C239" s="31">
        <v>46046.0</v>
      </c>
      <c r="D239" s="54"/>
      <c r="E239" s="54"/>
      <c r="F239" s="54"/>
      <c r="G239" s="36"/>
      <c r="H239" s="36" t="s">
        <v>187</v>
      </c>
      <c r="I239" s="36" t="s">
        <v>403</v>
      </c>
      <c r="J239" s="121" t="s">
        <v>48</v>
      </c>
      <c r="K239" s="121"/>
      <c r="L239" s="56" t="s">
        <v>49</v>
      </c>
      <c r="M239" s="63"/>
      <c r="N239" s="63"/>
      <c r="O239" s="74">
        <v>297.0</v>
      </c>
      <c r="P239" s="74"/>
      <c r="Q239" s="74"/>
      <c r="R239" s="14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A240" s="24"/>
      <c r="B240" s="34">
        <v>105.0</v>
      </c>
      <c r="C240" s="31">
        <v>46046.0</v>
      </c>
      <c r="D240" s="54"/>
      <c r="E240" s="54"/>
      <c r="F240" s="54"/>
      <c r="G240" s="36"/>
      <c r="H240" s="36" t="s">
        <v>386</v>
      </c>
      <c r="I240" s="36" t="s">
        <v>387</v>
      </c>
      <c r="J240" s="121" t="s">
        <v>283</v>
      </c>
      <c r="K240" s="121"/>
      <c r="L240" s="56" t="s">
        <v>49</v>
      </c>
      <c r="M240" s="63"/>
      <c r="N240" s="63"/>
      <c r="O240" s="74">
        <v>364.0</v>
      </c>
      <c r="P240" s="74"/>
      <c r="Q240" s="74"/>
      <c r="R240" s="14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A241" s="24"/>
      <c r="B241" s="34">
        <v>106.0</v>
      </c>
      <c r="C241" s="31">
        <v>46046.0</v>
      </c>
      <c r="D241" s="54"/>
      <c r="E241" s="54"/>
      <c r="F241" s="54"/>
      <c r="G241" s="36"/>
      <c r="H241" s="36" t="s">
        <v>404</v>
      </c>
      <c r="I241" s="36" t="s">
        <v>405</v>
      </c>
      <c r="J241" s="121" t="s">
        <v>349</v>
      </c>
      <c r="K241" s="121"/>
      <c r="L241" s="56" t="s">
        <v>49</v>
      </c>
      <c r="M241" s="63"/>
      <c r="N241" s="63"/>
      <c r="O241" s="74">
        <v>261.0</v>
      </c>
      <c r="P241" s="74"/>
      <c r="Q241" s="74"/>
      <c r="R241" s="14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A242" s="24"/>
      <c r="B242" s="34">
        <v>107.0</v>
      </c>
      <c r="C242" s="31">
        <v>46046.0</v>
      </c>
      <c r="D242" s="54"/>
      <c r="E242" s="54"/>
      <c r="F242" s="54"/>
      <c r="G242" s="36"/>
      <c r="H242" s="36" t="s">
        <v>404</v>
      </c>
      <c r="I242" s="36" t="s">
        <v>405</v>
      </c>
      <c r="J242" s="121" t="s">
        <v>349</v>
      </c>
      <c r="K242" s="121"/>
      <c r="L242" s="56" t="s">
        <v>49</v>
      </c>
      <c r="M242" s="63"/>
      <c r="N242" s="63"/>
      <c r="O242" s="74">
        <v>261.0</v>
      </c>
      <c r="P242" s="74"/>
      <c r="Q242" s="74"/>
      <c r="R242" s="14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A243" s="24"/>
      <c r="B243" s="34">
        <v>108.0</v>
      </c>
      <c r="C243" s="31">
        <v>46046.0</v>
      </c>
      <c r="D243" s="54"/>
      <c r="E243" s="54"/>
      <c r="F243" s="54"/>
      <c r="G243" s="36"/>
      <c r="H243" s="36" t="s">
        <v>382</v>
      </c>
      <c r="I243" s="36" t="s">
        <v>382</v>
      </c>
      <c r="J243" s="36" t="s">
        <v>406</v>
      </c>
      <c r="K243" s="36"/>
      <c r="L243" s="56" t="s">
        <v>49</v>
      </c>
      <c r="M243" s="63"/>
      <c r="N243" s="63"/>
      <c r="O243" s="74">
        <v>327.0</v>
      </c>
      <c r="P243" s="74"/>
      <c r="Q243" s="74"/>
      <c r="R243" s="14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A244" s="24"/>
      <c r="B244" s="34">
        <v>109.0</v>
      </c>
      <c r="C244" s="31">
        <v>46046.0</v>
      </c>
      <c r="D244" s="54"/>
      <c r="E244" s="54"/>
      <c r="F244" s="54"/>
      <c r="G244" s="36"/>
      <c r="H244" s="36" t="s">
        <v>382</v>
      </c>
      <c r="I244" s="36" t="s">
        <v>382</v>
      </c>
      <c r="J244" s="36" t="s">
        <v>407</v>
      </c>
      <c r="K244" s="36"/>
      <c r="L244" s="56" t="s">
        <v>84</v>
      </c>
      <c r="M244" s="63"/>
      <c r="N244" s="63"/>
      <c r="O244" s="74">
        <v>100.0</v>
      </c>
      <c r="P244" s="74"/>
      <c r="Q244" s="74"/>
      <c r="R244" s="14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A245" s="24"/>
      <c r="B245" s="34">
        <v>110.0</v>
      </c>
      <c r="C245" s="31">
        <v>46048.0</v>
      </c>
      <c r="D245" s="54"/>
      <c r="E245" s="54"/>
      <c r="F245" s="54"/>
      <c r="G245" s="36"/>
      <c r="H245" s="36" t="s">
        <v>408</v>
      </c>
      <c r="I245" s="36" t="s">
        <v>409</v>
      </c>
      <c r="J245" s="36" t="s">
        <v>410</v>
      </c>
      <c r="K245" s="36"/>
      <c r="L245" s="56" t="s">
        <v>49</v>
      </c>
      <c r="M245" s="63"/>
      <c r="N245" s="63"/>
      <c r="O245" s="40">
        <v>150.0</v>
      </c>
      <c r="P245" s="40"/>
      <c r="Q245" s="40"/>
      <c r="R245" s="14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A246" s="24"/>
      <c r="B246" s="34">
        <v>111.0</v>
      </c>
      <c r="C246" s="31">
        <v>46048.0</v>
      </c>
      <c r="D246" s="54"/>
      <c r="E246" s="54"/>
      <c r="F246" s="54"/>
      <c r="G246" s="36"/>
      <c r="H246" s="36" t="s">
        <v>411</v>
      </c>
      <c r="I246" s="36" t="s">
        <v>412</v>
      </c>
      <c r="J246" s="36" t="s">
        <v>390</v>
      </c>
      <c r="K246" s="36"/>
      <c r="L246" s="56" t="s">
        <v>49</v>
      </c>
      <c r="M246" s="63"/>
      <c r="N246" s="63"/>
      <c r="O246" s="40">
        <v>147.0</v>
      </c>
      <c r="P246" s="40"/>
      <c r="Q246" s="40"/>
      <c r="R246" s="14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A247" s="24"/>
      <c r="B247" s="34">
        <v>112.0</v>
      </c>
      <c r="C247" s="31">
        <v>46048.0</v>
      </c>
      <c r="D247" s="54"/>
      <c r="E247" s="54"/>
      <c r="F247" s="54"/>
      <c r="G247" s="36"/>
      <c r="H247" s="36" t="s">
        <v>413</v>
      </c>
      <c r="I247" s="60" t="s">
        <v>414</v>
      </c>
      <c r="J247" s="36" t="s">
        <v>415</v>
      </c>
      <c r="K247" s="36"/>
      <c r="L247" s="56" t="s">
        <v>49</v>
      </c>
      <c r="M247" s="63"/>
      <c r="N247" s="63"/>
      <c r="O247" s="40">
        <v>297.0</v>
      </c>
      <c r="P247" s="40"/>
      <c r="Q247" s="40"/>
      <c r="R247" s="144" t="s">
        <v>416</v>
      </c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A248" s="24"/>
      <c r="B248" s="34">
        <v>113.0</v>
      </c>
      <c r="C248" s="31">
        <v>46049.0</v>
      </c>
      <c r="D248" s="54"/>
      <c r="E248" s="54"/>
      <c r="F248" s="54"/>
      <c r="G248" s="36"/>
      <c r="H248" s="36" t="s">
        <v>417</v>
      </c>
      <c r="I248" s="36" t="s">
        <v>418</v>
      </c>
      <c r="J248" s="36" t="s">
        <v>415</v>
      </c>
      <c r="K248" s="36"/>
      <c r="L248" s="56" t="s">
        <v>49</v>
      </c>
      <c r="M248" s="63"/>
      <c r="N248" s="63"/>
      <c r="O248" s="40">
        <v>394.0</v>
      </c>
      <c r="P248" s="40"/>
      <c r="Q248" s="40"/>
      <c r="R248" s="144" t="s">
        <v>419</v>
      </c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A249" s="24"/>
      <c r="B249" s="34">
        <v>114.0</v>
      </c>
      <c r="C249" s="31">
        <v>46049.0</v>
      </c>
      <c r="D249" s="54"/>
      <c r="E249" s="54"/>
      <c r="F249" s="54"/>
      <c r="G249" s="36"/>
      <c r="H249" s="36" t="s">
        <v>420</v>
      </c>
      <c r="I249" s="36" t="s">
        <v>421</v>
      </c>
      <c r="J249" s="36" t="s">
        <v>415</v>
      </c>
      <c r="K249" s="36"/>
      <c r="L249" s="56" t="s">
        <v>49</v>
      </c>
      <c r="M249" s="63"/>
      <c r="N249" s="63"/>
      <c r="O249" s="40">
        <v>297.0</v>
      </c>
      <c r="P249" s="40"/>
      <c r="Q249" s="40"/>
      <c r="R249" s="144" t="s">
        <v>422</v>
      </c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A250" s="24"/>
      <c r="B250" s="34">
        <v>115.0</v>
      </c>
      <c r="C250" s="31">
        <v>46049.0</v>
      </c>
      <c r="D250" s="54"/>
      <c r="E250" s="54"/>
      <c r="F250" s="54"/>
      <c r="G250" s="36"/>
      <c r="H250" s="36" t="s">
        <v>423</v>
      </c>
      <c r="I250" s="36" t="s">
        <v>424</v>
      </c>
      <c r="J250" s="36" t="s">
        <v>415</v>
      </c>
      <c r="K250" s="36"/>
      <c r="L250" s="56" t="s">
        <v>49</v>
      </c>
      <c r="M250" s="63"/>
      <c r="N250" s="63"/>
      <c r="O250" s="40">
        <v>297.0</v>
      </c>
      <c r="P250" s="40"/>
      <c r="Q250" s="40"/>
      <c r="R250" s="144" t="s">
        <v>425</v>
      </c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A251" s="24"/>
      <c r="B251" s="34">
        <v>116.0</v>
      </c>
      <c r="C251" s="31">
        <v>46050.0</v>
      </c>
      <c r="D251" s="54"/>
      <c r="E251" s="54"/>
      <c r="F251" s="54"/>
      <c r="G251" s="36"/>
      <c r="H251" s="36" t="s">
        <v>426</v>
      </c>
      <c r="I251" s="36" t="s">
        <v>427</v>
      </c>
      <c r="J251" s="36" t="s">
        <v>428</v>
      </c>
      <c r="K251" s="36"/>
      <c r="L251" s="56" t="s">
        <v>49</v>
      </c>
      <c r="M251" s="63"/>
      <c r="N251" s="63"/>
      <c r="O251" s="40">
        <v>97.0</v>
      </c>
      <c r="P251" s="40"/>
      <c r="Q251" s="40"/>
      <c r="R251" s="144" t="s">
        <v>429</v>
      </c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A252" s="24"/>
      <c r="B252" s="34">
        <v>117.0</v>
      </c>
      <c r="C252" s="31">
        <v>46050.0</v>
      </c>
      <c r="D252" s="54"/>
      <c r="E252" s="54"/>
      <c r="F252" s="54"/>
      <c r="G252" s="36"/>
      <c r="H252" s="36" t="s">
        <v>430</v>
      </c>
      <c r="I252" s="36" t="s">
        <v>430</v>
      </c>
      <c r="J252" s="36" t="s">
        <v>431</v>
      </c>
      <c r="K252" s="36"/>
      <c r="L252" s="56" t="s">
        <v>49</v>
      </c>
      <c r="M252" s="63"/>
      <c r="N252" s="63"/>
      <c r="O252" s="40">
        <v>197.0</v>
      </c>
      <c r="P252" s="40"/>
      <c r="Q252" s="40"/>
      <c r="R252" s="144" t="s">
        <v>432</v>
      </c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A253" s="24"/>
      <c r="B253" s="34">
        <v>118.0</v>
      </c>
      <c r="C253" s="31">
        <v>46051.0</v>
      </c>
      <c r="D253" s="54"/>
      <c r="E253" s="54"/>
      <c r="F253" s="54"/>
      <c r="G253" s="36"/>
      <c r="H253" s="36" t="s">
        <v>433</v>
      </c>
      <c r="I253" s="36" t="s">
        <v>434</v>
      </c>
      <c r="J253" s="36" t="s">
        <v>415</v>
      </c>
      <c r="K253" s="36"/>
      <c r="L253" s="56" t="s">
        <v>49</v>
      </c>
      <c r="M253" s="63"/>
      <c r="N253" s="63"/>
      <c r="O253" s="40">
        <v>297.0</v>
      </c>
      <c r="P253" s="40"/>
      <c r="Q253" s="40"/>
      <c r="R253" s="144" t="s">
        <v>435</v>
      </c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A254" s="24"/>
      <c r="B254" s="34">
        <v>119.0</v>
      </c>
      <c r="C254" s="31">
        <v>46051.0</v>
      </c>
      <c r="D254" s="54"/>
      <c r="E254" s="54"/>
      <c r="F254" s="54"/>
      <c r="G254" s="36"/>
      <c r="H254" s="36" t="s">
        <v>436</v>
      </c>
      <c r="I254" s="36" t="s">
        <v>437</v>
      </c>
      <c r="J254" s="36" t="s">
        <v>415</v>
      </c>
      <c r="K254" s="36"/>
      <c r="L254" s="56" t="s">
        <v>49</v>
      </c>
      <c r="M254" s="63"/>
      <c r="N254" s="63"/>
      <c r="O254" s="40">
        <v>297.0</v>
      </c>
      <c r="P254" s="40"/>
      <c r="Q254" s="40"/>
      <c r="R254" s="144" t="s">
        <v>438</v>
      </c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A255" s="24"/>
      <c r="B255" s="34">
        <v>120.0</v>
      </c>
      <c r="C255" s="31">
        <v>46052.0</v>
      </c>
      <c r="D255" s="54"/>
      <c r="E255" s="54"/>
      <c r="F255" s="54"/>
      <c r="G255" s="36"/>
      <c r="H255" s="36" t="s">
        <v>439</v>
      </c>
      <c r="I255" s="36" t="s">
        <v>440</v>
      </c>
      <c r="J255" s="36" t="s">
        <v>415</v>
      </c>
      <c r="K255" s="36"/>
      <c r="L255" s="56" t="s">
        <v>49</v>
      </c>
      <c r="M255" s="63"/>
      <c r="N255" s="63"/>
      <c r="O255" s="40">
        <v>297.0</v>
      </c>
      <c r="P255" s="40"/>
      <c r="Q255" s="40"/>
      <c r="R255" s="144" t="s">
        <v>441</v>
      </c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A256" s="24"/>
      <c r="B256" s="34">
        <v>121.0</v>
      </c>
      <c r="C256" s="31">
        <v>46052.0</v>
      </c>
      <c r="D256" s="54"/>
      <c r="E256" s="54"/>
      <c r="F256" s="54"/>
      <c r="G256" s="36"/>
      <c r="H256" s="36" t="s">
        <v>442</v>
      </c>
      <c r="I256" s="76"/>
      <c r="J256" s="36" t="s">
        <v>415</v>
      </c>
      <c r="K256" s="36"/>
      <c r="L256" s="56" t="s">
        <v>49</v>
      </c>
      <c r="M256" s="63"/>
      <c r="N256" s="63"/>
      <c r="O256" s="40">
        <v>297.0</v>
      </c>
      <c r="P256" s="40"/>
      <c r="Q256" s="40"/>
      <c r="R256" s="144" t="s">
        <v>443</v>
      </c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A257" s="24"/>
      <c r="B257" s="34">
        <v>122.0</v>
      </c>
      <c r="C257" s="31">
        <v>46053.0</v>
      </c>
      <c r="D257" s="54"/>
      <c r="E257" s="54"/>
      <c r="F257" s="54"/>
      <c r="G257" s="36"/>
      <c r="H257" s="36" t="s">
        <v>444</v>
      </c>
      <c r="I257" s="36" t="s">
        <v>445</v>
      </c>
      <c r="J257" s="36" t="s">
        <v>415</v>
      </c>
      <c r="K257" s="36"/>
      <c r="L257" s="56" t="s">
        <v>49</v>
      </c>
      <c r="M257" s="63"/>
      <c r="N257" s="63"/>
      <c r="O257" s="40">
        <v>297.0</v>
      </c>
      <c r="P257" s="40"/>
      <c r="Q257" s="40"/>
      <c r="R257" s="144" t="s">
        <v>446</v>
      </c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A258" s="77"/>
      <c r="B258" s="145"/>
      <c r="C258" s="145"/>
      <c r="D258" s="145"/>
      <c r="E258" s="145"/>
      <c r="F258" s="145"/>
      <c r="G258" s="146"/>
      <c r="H258" s="146"/>
      <c r="I258" s="146"/>
      <c r="J258" s="146"/>
      <c r="K258" s="146"/>
      <c r="L258" s="147"/>
      <c r="M258" s="148"/>
      <c r="N258" s="148"/>
      <c r="O258" s="148">
        <f>SUM(O136:O257)</f>
        <v>29539.5</v>
      </c>
      <c r="P258" s="80"/>
      <c r="Q258" s="80"/>
      <c r="R258" s="80">
        <f>SUM(R174:R257)</f>
        <v>0</v>
      </c>
      <c r="S258" s="81"/>
      <c r="T258" s="82"/>
      <c r="U258" s="80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</row>
    <row r="259" ht="15.75" customHeight="1">
      <c r="A259" s="5"/>
      <c r="B259" s="9" t="s">
        <v>447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7"/>
      <c r="P259" s="5"/>
      <c r="Q259" s="5"/>
      <c r="R259" s="14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ht="15.75" customHeight="1">
      <c r="A260" s="84"/>
      <c r="B260" s="8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14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ht="15.75" customHeight="1">
      <c r="A261" s="85"/>
      <c r="B261" s="32" t="s">
        <v>1</v>
      </c>
      <c r="C261" s="32" t="s">
        <v>3</v>
      </c>
      <c r="D261" s="35" t="s">
        <v>4</v>
      </c>
      <c r="E261" s="7"/>
      <c r="F261" s="8"/>
      <c r="G261" s="86"/>
      <c r="H261" s="30" t="s">
        <v>29</v>
      </c>
      <c r="I261" s="32" t="s">
        <v>30</v>
      </c>
      <c r="J261" s="32" t="s">
        <v>7</v>
      </c>
      <c r="K261" s="48"/>
      <c r="L261" s="30" t="s">
        <v>34</v>
      </c>
      <c r="M261" s="32" t="s">
        <v>37</v>
      </c>
      <c r="N261" s="32" t="s">
        <v>10</v>
      </c>
      <c r="O261" s="32" t="s">
        <v>38</v>
      </c>
      <c r="P261" s="43" t="s">
        <v>39</v>
      </c>
      <c r="Q261" s="43" t="s">
        <v>40</v>
      </c>
      <c r="R261" s="14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ht="15.75" customHeight="1">
      <c r="A262" s="85"/>
      <c r="B262" s="11"/>
      <c r="C262" s="11"/>
      <c r="D262" s="48" t="s">
        <v>12</v>
      </c>
      <c r="E262" s="48" t="s">
        <v>13</v>
      </c>
      <c r="F262" s="48" t="s">
        <v>14</v>
      </c>
      <c r="G262" s="86"/>
      <c r="H262" s="11"/>
      <c r="I262" s="11"/>
      <c r="J262" s="11"/>
      <c r="K262" s="48"/>
      <c r="L262" s="11"/>
      <c r="M262" s="11"/>
      <c r="N262" s="11"/>
      <c r="O262" s="11"/>
      <c r="P262" s="11"/>
      <c r="Q262" s="11"/>
      <c r="R262" s="14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ht="15.75" customHeight="1">
      <c r="A263" s="24"/>
      <c r="B263" s="34">
        <v>1.0</v>
      </c>
      <c r="C263" s="31">
        <v>46055.0</v>
      </c>
      <c r="D263" s="54"/>
      <c r="E263" s="54"/>
      <c r="F263" s="54"/>
      <c r="G263" s="149"/>
      <c r="H263" s="149" t="s">
        <v>448</v>
      </c>
      <c r="I263" s="149" t="s">
        <v>449</v>
      </c>
      <c r="J263" s="149" t="s">
        <v>450</v>
      </c>
      <c r="K263" s="149"/>
      <c r="L263" s="56" t="s">
        <v>49</v>
      </c>
      <c r="M263" s="63"/>
      <c r="N263" s="63"/>
      <c r="O263" s="40">
        <v>197.0</v>
      </c>
      <c r="P263" s="40" t="s">
        <v>451</v>
      </c>
      <c r="Q263" s="40" t="s">
        <v>452</v>
      </c>
      <c r="R263" s="144" t="s">
        <v>432</v>
      </c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ht="15.75" customHeight="1">
      <c r="A264" s="24"/>
      <c r="B264" s="34">
        <v>2.0</v>
      </c>
      <c r="C264" s="31">
        <v>46055.0</v>
      </c>
      <c r="D264" s="34">
        <v>3.0</v>
      </c>
      <c r="E264" s="34" t="s">
        <v>67</v>
      </c>
      <c r="F264" s="34">
        <v>37.0</v>
      </c>
      <c r="G264" s="149"/>
      <c r="H264" s="149" t="s">
        <v>453</v>
      </c>
      <c r="I264" s="149" t="s">
        <v>454</v>
      </c>
      <c r="J264" s="149" t="s">
        <v>450</v>
      </c>
      <c r="K264" s="149"/>
      <c r="L264" s="56" t="s">
        <v>49</v>
      </c>
      <c r="M264" s="63"/>
      <c r="N264" s="63"/>
      <c r="O264" s="40">
        <v>297.0</v>
      </c>
      <c r="P264" s="40" t="s">
        <v>451</v>
      </c>
      <c r="Q264" s="40" t="s">
        <v>452</v>
      </c>
      <c r="R264" s="144" t="s">
        <v>455</v>
      </c>
      <c r="S264" s="23"/>
      <c r="T264" s="23"/>
      <c r="U264" s="81">
        <f>O264</f>
        <v>297</v>
      </c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ht="15.75" customHeight="1">
      <c r="A265" s="24"/>
      <c r="B265" s="34">
        <v>3.0</v>
      </c>
      <c r="C265" s="31">
        <v>46055.0</v>
      </c>
      <c r="D265" s="54"/>
      <c r="E265" s="54"/>
      <c r="F265" s="54"/>
      <c r="G265" s="149"/>
      <c r="H265" s="149" t="s">
        <v>456</v>
      </c>
      <c r="I265" s="149" t="s">
        <v>457</v>
      </c>
      <c r="J265" s="149" t="s">
        <v>450</v>
      </c>
      <c r="K265" s="149"/>
      <c r="L265" s="56" t="s">
        <v>49</v>
      </c>
      <c r="M265" s="63"/>
      <c r="N265" s="63"/>
      <c r="O265" s="40">
        <v>594.0</v>
      </c>
      <c r="P265" s="40" t="s">
        <v>451</v>
      </c>
      <c r="Q265" s="40" t="s">
        <v>253</v>
      </c>
      <c r="R265" s="144" t="s">
        <v>458</v>
      </c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ht="15.75" customHeight="1">
      <c r="A266" s="24"/>
      <c r="B266" s="34">
        <v>4.0</v>
      </c>
      <c r="C266" s="31">
        <v>46055.0</v>
      </c>
      <c r="D266" s="54"/>
      <c r="E266" s="54"/>
      <c r="F266" s="54"/>
      <c r="G266" s="149"/>
      <c r="H266" s="149" t="s">
        <v>459</v>
      </c>
      <c r="I266" s="149" t="s">
        <v>460</v>
      </c>
      <c r="J266" s="149" t="s">
        <v>461</v>
      </c>
      <c r="K266" s="149"/>
      <c r="L266" s="56" t="s">
        <v>84</v>
      </c>
      <c r="M266" s="63"/>
      <c r="N266" s="63"/>
      <c r="O266" s="40">
        <v>7.0</v>
      </c>
      <c r="P266" s="40" t="s">
        <v>462</v>
      </c>
      <c r="Q266" s="40" t="s">
        <v>452</v>
      </c>
      <c r="R266" s="14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ht="15.75" customHeight="1">
      <c r="A267" s="24"/>
      <c r="B267" s="34">
        <v>5.0</v>
      </c>
      <c r="C267" s="31">
        <v>46056.0</v>
      </c>
      <c r="D267" s="54"/>
      <c r="E267" s="54"/>
      <c r="F267" s="54"/>
      <c r="G267" s="149"/>
      <c r="H267" s="149" t="s">
        <v>463</v>
      </c>
      <c r="I267" s="149" t="s">
        <v>464</v>
      </c>
      <c r="J267" s="149" t="s">
        <v>450</v>
      </c>
      <c r="K267" s="149"/>
      <c r="L267" s="56" t="s">
        <v>49</v>
      </c>
      <c r="M267" s="63"/>
      <c r="N267" s="63"/>
      <c r="O267" s="40">
        <v>297.0</v>
      </c>
      <c r="P267" s="40" t="s">
        <v>451</v>
      </c>
      <c r="Q267" s="40" t="s">
        <v>452</v>
      </c>
      <c r="R267" s="144">
        <v>9.31137324E8</v>
      </c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ht="15.75" customHeight="1">
      <c r="A268" s="24"/>
      <c r="B268" s="34">
        <v>6.0</v>
      </c>
      <c r="C268" s="31">
        <v>46056.0</v>
      </c>
      <c r="D268" s="54"/>
      <c r="E268" s="54"/>
      <c r="F268" s="54"/>
      <c r="G268" s="149"/>
      <c r="H268" s="149" t="s">
        <v>465</v>
      </c>
      <c r="I268" s="149" t="s">
        <v>466</v>
      </c>
      <c r="J268" s="149" t="s">
        <v>450</v>
      </c>
      <c r="K268" s="149"/>
      <c r="L268" s="56" t="s">
        <v>49</v>
      </c>
      <c r="M268" s="63"/>
      <c r="N268" s="63"/>
      <c r="O268" s="40">
        <v>656.0</v>
      </c>
      <c r="P268" s="40" t="s">
        <v>451</v>
      </c>
      <c r="Q268" s="40" t="s">
        <v>452</v>
      </c>
      <c r="R268" s="144" t="s">
        <v>467</v>
      </c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ht="15.75" customHeight="1">
      <c r="A269" s="24"/>
      <c r="B269" s="34">
        <v>7.0</v>
      </c>
      <c r="C269" s="31">
        <v>46056.0</v>
      </c>
      <c r="D269" s="54"/>
      <c r="E269" s="54"/>
      <c r="F269" s="54"/>
      <c r="G269" s="149"/>
      <c r="H269" s="149" t="s">
        <v>468</v>
      </c>
      <c r="I269" s="149" t="s">
        <v>469</v>
      </c>
      <c r="J269" s="149" t="s">
        <v>450</v>
      </c>
      <c r="K269" s="149"/>
      <c r="L269" s="56" t="s">
        <v>49</v>
      </c>
      <c r="M269" s="63"/>
      <c r="N269" s="63"/>
      <c r="O269" s="40">
        <v>300.0</v>
      </c>
      <c r="P269" s="40" t="s">
        <v>451</v>
      </c>
      <c r="Q269" s="40" t="s">
        <v>253</v>
      </c>
      <c r="R269" s="144" t="s">
        <v>470</v>
      </c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ht="15.75" customHeight="1">
      <c r="A270" s="24"/>
      <c r="B270" s="34">
        <v>8.0</v>
      </c>
      <c r="C270" s="31">
        <v>46056.0</v>
      </c>
      <c r="D270" s="54"/>
      <c r="E270" s="54"/>
      <c r="F270" s="54"/>
      <c r="G270" s="149"/>
      <c r="H270" s="149" t="s">
        <v>471</v>
      </c>
      <c r="I270" s="149" t="s">
        <v>472</v>
      </c>
      <c r="J270" s="149" t="s">
        <v>473</v>
      </c>
      <c r="K270" s="149"/>
      <c r="L270" s="56" t="s">
        <v>49</v>
      </c>
      <c r="M270" s="63"/>
      <c r="N270" s="63"/>
      <c r="O270" s="40">
        <v>97.0</v>
      </c>
      <c r="P270" s="40" t="s">
        <v>451</v>
      </c>
      <c r="Q270" s="40" t="s">
        <v>474</v>
      </c>
      <c r="R270" s="144" t="s">
        <v>475</v>
      </c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ht="15.75" customHeight="1">
      <c r="A271" s="24"/>
      <c r="B271" s="34">
        <v>9.0</v>
      </c>
      <c r="C271" s="31">
        <v>46056.0</v>
      </c>
      <c r="D271" s="54"/>
      <c r="E271" s="54"/>
      <c r="F271" s="54"/>
      <c r="G271" s="149"/>
      <c r="H271" s="149" t="s">
        <v>476</v>
      </c>
      <c r="I271" s="149" t="s">
        <v>477</v>
      </c>
      <c r="J271" s="149" t="s">
        <v>473</v>
      </c>
      <c r="K271" s="149"/>
      <c r="L271" s="56" t="s">
        <v>49</v>
      </c>
      <c r="M271" s="63"/>
      <c r="N271" s="63"/>
      <c r="O271" s="40">
        <v>97.0</v>
      </c>
      <c r="P271" s="40" t="s">
        <v>451</v>
      </c>
      <c r="Q271" s="40" t="s">
        <v>452</v>
      </c>
      <c r="R271" s="144" t="s">
        <v>478</v>
      </c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ht="15.75" customHeight="1">
      <c r="A272" s="24"/>
      <c r="B272" s="34">
        <v>10.0</v>
      </c>
      <c r="C272" s="31">
        <v>46056.0</v>
      </c>
      <c r="D272" s="54"/>
      <c r="E272" s="54"/>
      <c r="F272" s="54"/>
      <c r="G272" s="149"/>
      <c r="H272" s="149" t="s">
        <v>479</v>
      </c>
      <c r="I272" s="149" t="s">
        <v>480</v>
      </c>
      <c r="J272" s="149" t="s">
        <v>450</v>
      </c>
      <c r="K272" s="149"/>
      <c r="L272" s="56" t="s">
        <v>49</v>
      </c>
      <c r="M272" s="63"/>
      <c r="N272" s="63"/>
      <c r="O272" s="40">
        <v>297.0</v>
      </c>
      <c r="P272" s="40" t="s">
        <v>451</v>
      </c>
      <c r="Q272" s="40" t="s">
        <v>452</v>
      </c>
      <c r="R272" s="150">
        <v>9.42825615E8</v>
      </c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ht="15.75" customHeight="1">
      <c r="A273" s="24"/>
      <c r="B273" s="34">
        <v>11.0</v>
      </c>
      <c r="C273" s="31">
        <v>46056.0</v>
      </c>
      <c r="D273" s="54"/>
      <c r="E273" s="54"/>
      <c r="F273" s="54"/>
      <c r="G273" s="149"/>
      <c r="H273" s="149" t="s">
        <v>481</v>
      </c>
      <c r="I273" s="149" t="s">
        <v>480</v>
      </c>
      <c r="J273" s="149" t="s">
        <v>482</v>
      </c>
      <c r="K273" s="149"/>
      <c r="L273" s="56" t="s">
        <v>84</v>
      </c>
      <c r="M273" s="63"/>
      <c r="N273" s="63"/>
      <c r="O273" s="40">
        <v>99.0</v>
      </c>
      <c r="P273" s="40" t="s">
        <v>451</v>
      </c>
      <c r="Q273" s="40" t="s">
        <v>452</v>
      </c>
      <c r="R273" s="150" t="s">
        <v>483</v>
      </c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ht="15.75" customHeight="1">
      <c r="A274" s="24"/>
      <c r="B274" s="34">
        <v>12.0</v>
      </c>
      <c r="C274" s="31">
        <v>46056.0</v>
      </c>
      <c r="D274" s="54"/>
      <c r="E274" s="54"/>
      <c r="F274" s="54"/>
      <c r="G274" s="149"/>
      <c r="H274" s="149" t="s">
        <v>484</v>
      </c>
      <c r="I274" s="149" t="s">
        <v>485</v>
      </c>
      <c r="J274" s="149" t="s">
        <v>486</v>
      </c>
      <c r="K274" s="149"/>
      <c r="L274" s="56" t="s">
        <v>49</v>
      </c>
      <c r="M274" s="63"/>
      <c r="N274" s="63"/>
      <c r="O274" s="40">
        <v>150.0</v>
      </c>
      <c r="P274" s="40" t="s">
        <v>451</v>
      </c>
      <c r="Q274" s="40" t="s">
        <v>452</v>
      </c>
      <c r="R274" s="144" t="s">
        <v>487</v>
      </c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ht="15.75" customHeight="1">
      <c r="A275" s="24"/>
      <c r="B275" s="34">
        <v>13.0</v>
      </c>
      <c r="C275" s="31">
        <v>46056.0</v>
      </c>
      <c r="D275" s="54"/>
      <c r="E275" s="54"/>
      <c r="F275" s="54"/>
      <c r="G275" s="149"/>
      <c r="H275" s="149" t="s">
        <v>488</v>
      </c>
      <c r="I275" s="149" t="s">
        <v>489</v>
      </c>
      <c r="J275" s="149" t="s">
        <v>450</v>
      </c>
      <c r="K275" s="149"/>
      <c r="L275" s="56" t="s">
        <v>49</v>
      </c>
      <c r="M275" s="63"/>
      <c r="N275" s="63"/>
      <c r="O275" s="40">
        <v>297.0</v>
      </c>
      <c r="P275" s="40" t="s">
        <v>451</v>
      </c>
      <c r="Q275" s="40" t="s">
        <v>452</v>
      </c>
      <c r="R275" s="144" t="s">
        <v>490</v>
      </c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ht="15.75" customHeight="1">
      <c r="A276" s="24"/>
      <c r="B276" s="34">
        <v>14.0</v>
      </c>
      <c r="C276" s="31">
        <v>46056.0</v>
      </c>
      <c r="D276" s="54"/>
      <c r="E276" s="54"/>
      <c r="F276" s="54"/>
      <c r="G276" s="149"/>
      <c r="H276" s="149" t="s">
        <v>491</v>
      </c>
      <c r="I276" s="149" t="s">
        <v>492</v>
      </c>
      <c r="J276" s="149" t="s">
        <v>450</v>
      </c>
      <c r="K276" s="149"/>
      <c r="L276" s="56" t="s">
        <v>49</v>
      </c>
      <c r="M276" s="63"/>
      <c r="N276" s="63"/>
      <c r="O276" s="40">
        <v>297.0</v>
      </c>
      <c r="P276" s="40" t="s">
        <v>451</v>
      </c>
      <c r="Q276" s="40" t="s">
        <v>452</v>
      </c>
      <c r="R276" s="151" t="s">
        <v>493</v>
      </c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ht="15.75" customHeight="1">
      <c r="A277" s="24"/>
      <c r="B277" s="34">
        <v>15.0</v>
      </c>
      <c r="C277" s="31">
        <v>46057.0</v>
      </c>
      <c r="D277" s="54"/>
      <c r="E277" s="54"/>
      <c r="F277" s="54"/>
      <c r="G277" s="149"/>
      <c r="H277" s="149" t="s">
        <v>494</v>
      </c>
      <c r="I277" s="149" t="s">
        <v>495</v>
      </c>
      <c r="J277" s="149" t="s">
        <v>450</v>
      </c>
      <c r="K277" s="149"/>
      <c r="L277" s="56" t="s">
        <v>49</v>
      </c>
      <c r="M277" s="76"/>
      <c r="N277" s="76"/>
      <c r="O277" s="40">
        <v>297.0</v>
      </c>
      <c r="P277" s="40" t="s">
        <v>451</v>
      </c>
      <c r="Q277" s="40" t="s">
        <v>452</v>
      </c>
      <c r="R277" s="144" t="s">
        <v>496</v>
      </c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ht="15.75" customHeight="1">
      <c r="A278" s="24"/>
      <c r="B278" s="34">
        <v>16.0</v>
      </c>
      <c r="C278" s="31">
        <v>46057.0</v>
      </c>
      <c r="D278" s="143"/>
      <c r="E278" s="143"/>
      <c r="F278" s="143"/>
      <c r="G278" s="149"/>
      <c r="H278" s="149" t="s">
        <v>497</v>
      </c>
      <c r="I278" s="149" t="s">
        <v>498</v>
      </c>
      <c r="J278" s="149" t="s">
        <v>450</v>
      </c>
      <c r="K278" s="149"/>
      <c r="L278" s="56" t="s">
        <v>49</v>
      </c>
      <c r="M278" s="143"/>
      <c r="N278" s="143"/>
      <c r="O278" s="36">
        <v>522.0</v>
      </c>
      <c r="P278" s="40" t="s">
        <v>451</v>
      </c>
      <c r="Q278" s="40" t="s">
        <v>452</v>
      </c>
      <c r="R278" s="144" t="s">
        <v>499</v>
      </c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ht="15.75" customHeight="1">
      <c r="A279" s="24"/>
      <c r="B279" s="34">
        <v>17.0</v>
      </c>
      <c r="C279" s="31">
        <v>46057.0</v>
      </c>
      <c r="D279" s="143"/>
      <c r="E279" s="143"/>
      <c r="F279" s="143"/>
      <c r="G279" s="149"/>
      <c r="H279" s="149" t="s">
        <v>342</v>
      </c>
      <c r="I279" s="149" t="s">
        <v>342</v>
      </c>
      <c r="J279" s="149" t="s">
        <v>500</v>
      </c>
      <c r="K279" s="149"/>
      <c r="L279" s="56" t="s">
        <v>84</v>
      </c>
      <c r="M279" s="143"/>
      <c r="N279" s="143"/>
      <c r="O279" s="40">
        <v>5.0</v>
      </c>
      <c r="P279" s="40" t="s">
        <v>462</v>
      </c>
      <c r="Q279" s="40" t="s">
        <v>474</v>
      </c>
      <c r="R279" s="144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ht="15.75" customHeight="1">
      <c r="A280" s="24"/>
      <c r="B280" s="34">
        <v>18.0</v>
      </c>
      <c r="C280" s="31">
        <v>46058.0</v>
      </c>
      <c r="D280" s="36">
        <v>3.0</v>
      </c>
      <c r="E280" s="36" t="s">
        <v>67</v>
      </c>
      <c r="F280" s="36">
        <v>38.0</v>
      </c>
      <c r="G280" s="149"/>
      <c r="H280" s="149" t="s">
        <v>501</v>
      </c>
      <c r="I280" s="149" t="s">
        <v>502</v>
      </c>
      <c r="J280" s="149" t="s">
        <v>450</v>
      </c>
      <c r="K280" s="149"/>
      <c r="L280" s="56" t="s">
        <v>49</v>
      </c>
      <c r="M280" s="143"/>
      <c r="N280" s="143"/>
      <c r="O280" s="40">
        <v>297.0</v>
      </c>
      <c r="P280" s="40" t="s">
        <v>451</v>
      </c>
      <c r="Q280" s="40" t="s">
        <v>452</v>
      </c>
      <c r="R280" s="144" t="s">
        <v>503</v>
      </c>
      <c r="S280" s="23"/>
      <c r="T280" s="23"/>
      <c r="U280" s="81">
        <f>O280</f>
        <v>297</v>
      </c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ht="15.75" customHeight="1">
      <c r="A281" s="24"/>
      <c r="B281" s="34">
        <v>19.0</v>
      </c>
      <c r="C281" s="31">
        <v>46058.0</v>
      </c>
      <c r="D281" s="143"/>
      <c r="E281" s="143"/>
      <c r="F281" s="143"/>
      <c r="G281" s="149"/>
      <c r="H281" s="149" t="s">
        <v>504</v>
      </c>
      <c r="I281" s="149" t="s">
        <v>505</v>
      </c>
      <c r="J281" s="149" t="s">
        <v>506</v>
      </c>
      <c r="K281" s="149"/>
      <c r="L281" s="56" t="s">
        <v>84</v>
      </c>
      <c r="M281" s="143"/>
      <c r="N281" s="143"/>
      <c r="O281" s="36">
        <v>199.0</v>
      </c>
      <c r="P281" s="40" t="s">
        <v>462</v>
      </c>
      <c r="Q281" s="40" t="s">
        <v>474</v>
      </c>
      <c r="R281" s="144" t="s">
        <v>467</v>
      </c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ht="15.75" customHeight="1">
      <c r="A282" s="24"/>
      <c r="B282" s="34">
        <v>20.0</v>
      </c>
      <c r="C282" s="31">
        <v>46059.0</v>
      </c>
      <c r="D282" s="143"/>
      <c r="E282" s="143"/>
      <c r="F282" s="143"/>
      <c r="G282" s="149"/>
      <c r="H282" s="149" t="s">
        <v>507</v>
      </c>
      <c r="I282" s="149" t="s">
        <v>508</v>
      </c>
      <c r="J282" s="149" t="s">
        <v>450</v>
      </c>
      <c r="K282" s="149"/>
      <c r="L282" s="56" t="s">
        <v>49</v>
      </c>
      <c r="M282" s="143"/>
      <c r="N282" s="143"/>
      <c r="O282" s="36">
        <v>783.0</v>
      </c>
      <c r="P282" s="40" t="s">
        <v>451</v>
      </c>
      <c r="Q282" s="40" t="s">
        <v>452</v>
      </c>
      <c r="R282" s="144" t="s">
        <v>509</v>
      </c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ht="15.75" customHeight="1">
      <c r="A283" s="24"/>
      <c r="B283" s="34">
        <v>21.0</v>
      </c>
      <c r="C283" s="31">
        <v>46059.0</v>
      </c>
      <c r="D283" s="143"/>
      <c r="E283" s="143"/>
      <c r="F283" s="143"/>
      <c r="G283" s="149"/>
      <c r="H283" s="149" t="s">
        <v>471</v>
      </c>
      <c r="I283" s="149" t="s">
        <v>510</v>
      </c>
      <c r="J283" s="149" t="s">
        <v>450</v>
      </c>
      <c r="K283" s="149"/>
      <c r="L283" s="56" t="s">
        <v>49</v>
      </c>
      <c r="M283" s="143"/>
      <c r="N283" s="143"/>
      <c r="O283" s="36">
        <v>400.0</v>
      </c>
      <c r="P283" s="40" t="s">
        <v>451</v>
      </c>
      <c r="Q283" s="40" t="s">
        <v>452</v>
      </c>
      <c r="R283" s="144" t="s">
        <v>475</v>
      </c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ht="15.75" customHeight="1">
      <c r="A284" s="24"/>
      <c r="B284" s="34">
        <v>22.0</v>
      </c>
      <c r="C284" s="31">
        <v>46059.0</v>
      </c>
      <c r="D284" s="143"/>
      <c r="E284" s="143"/>
      <c r="F284" s="143"/>
      <c r="G284" s="149"/>
      <c r="H284" s="149" t="s">
        <v>511</v>
      </c>
      <c r="I284" s="149" t="s">
        <v>512</v>
      </c>
      <c r="J284" s="149" t="s">
        <v>513</v>
      </c>
      <c r="K284" s="149"/>
      <c r="L284" s="56" t="s">
        <v>49</v>
      </c>
      <c r="M284" s="143"/>
      <c r="N284" s="143"/>
      <c r="O284" s="36">
        <v>30.0</v>
      </c>
      <c r="P284" s="40" t="s">
        <v>462</v>
      </c>
      <c r="Q284" s="40" t="s">
        <v>452</v>
      </c>
      <c r="R284" s="144" t="s">
        <v>514</v>
      </c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ht="15.75" customHeight="1">
      <c r="A285" s="24"/>
      <c r="B285" s="34">
        <v>23.0</v>
      </c>
      <c r="C285" s="31">
        <v>46060.0</v>
      </c>
      <c r="D285" s="36">
        <v>3.0</v>
      </c>
      <c r="E285" s="36" t="s">
        <v>67</v>
      </c>
      <c r="F285" s="36">
        <v>31.0</v>
      </c>
      <c r="G285" s="149"/>
      <c r="H285" s="149" t="s">
        <v>515</v>
      </c>
      <c r="I285" s="149" t="s">
        <v>516</v>
      </c>
      <c r="J285" s="149" t="s">
        <v>517</v>
      </c>
      <c r="K285" s="149"/>
      <c r="L285" s="56" t="s">
        <v>49</v>
      </c>
      <c r="M285" s="143"/>
      <c r="N285" s="143"/>
      <c r="O285" s="40">
        <v>434.0</v>
      </c>
      <c r="P285" s="40" t="s">
        <v>518</v>
      </c>
      <c r="Q285" s="40" t="s">
        <v>474</v>
      </c>
      <c r="R285" s="144"/>
      <c r="S285" s="71">
        <f>O285</f>
        <v>434</v>
      </c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ht="15.75" customHeight="1">
      <c r="A286" s="24"/>
      <c r="B286" s="34">
        <v>24.0</v>
      </c>
      <c r="C286" s="31">
        <v>46060.0</v>
      </c>
      <c r="D286" s="143"/>
      <c r="E286" s="143"/>
      <c r="F286" s="143"/>
      <c r="G286" s="149"/>
      <c r="H286" s="149" t="s">
        <v>519</v>
      </c>
      <c r="I286" s="149" t="s">
        <v>519</v>
      </c>
      <c r="J286" s="149" t="s">
        <v>240</v>
      </c>
      <c r="K286" s="149"/>
      <c r="L286" s="56" t="s">
        <v>49</v>
      </c>
      <c r="M286" s="143"/>
      <c r="N286" s="143"/>
      <c r="O286" s="40">
        <v>30.0</v>
      </c>
      <c r="P286" s="40" t="s">
        <v>518</v>
      </c>
      <c r="Q286" s="40" t="s">
        <v>474</v>
      </c>
      <c r="R286" s="144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ht="15.75" customHeight="1">
      <c r="A287" s="24"/>
      <c r="B287" s="34">
        <v>25.0</v>
      </c>
      <c r="C287" s="31">
        <v>46060.0</v>
      </c>
      <c r="D287" s="143"/>
      <c r="E287" s="143"/>
      <c r="F287" s="143"/>
      <c r="G287" s="149"/>
      <c r="H287" s="149" t="s">
        <v>520</v>
      </c>
      <c r="I287" s="149" t="s">
        <v>521</v>
      </c>
      <c r="J287" s="149" t="s">
        <v>450</v>
      </c>
      <c r="K287" s="149"/>
      <c r="L287" s="56" t="s">
        <v>49</v>
      </c>
      <c r="M287" s="143"/>
      <c r="N287" s="143"/>
      <c r="O287" s="40">
        <v>297.0</v>
      </c>
      <c r="P287" s="40" t="s">
        <v>451</v>
      </c>
      <c r="Q287" s="40" t="s">
        <v>452</v>
      </c>
      <c r="R287" s="144" t="s">
        <v>522</v>
      </c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ht="15.75" customHeight="1">
      <c r="A288" s="24"/>
      <c r="B288" s="34">
        <v>26.0</v>
      </c>
      <c r="C288" s="31">
        <v>46060.0</v>
      </c>
      <c r="D288" s="143"/>
      <c r="E288" s="143"/>
      <c r="F288" s="143"/>
      <c r="G288" s="149"/>
      <c r="H288" s="149" t="s">
        <v>523</v>
      </c>
      <c r="I288" s="149" t="s">
        <v>524</v>
      </c>
      <c r="J288" s="149" t="s">
        <v>450</v>
      </c>
      <c r="K288" s="149"/>
      <c r="L288" s="56" t="s">
        <v>49</v>
      </c>
      <c r="M288" s="143"/>
      <c r="N288" s="143"/>
      <c r="O288" s="40">
        <v>297.0</v>
      </c>
      <c r="P288" s="40" t="s">
        <v>451</v>
      </c>
      <c r="Q288" s="40" t="s">
        <v>253</v>
      </c>
      <c r="R288" s="144" t="s">
        <v>525</v>
      </c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ht="15.0" customHeight="1">
      <c r="A289" s="24"/>
      <c r="B289" s="34">
        <v>27.0</v>
      </c>
      <c r="C289" s="31">
        <v>46060.0</v>
      </c>
      <c r="D289" s="143"/>
      <c r="E289" s="143"/>
      <c r="F289" s="143"/>
      <c r="G289" s="149"/>
      <c r="H289" s="149" t="s">
        <v>526</v>
      </c>
      <c r="I289" s="149" t="s">
        <v>527</v>
      </c>
      <c r="J289" s="149" t="s">
        <v>450</v>
      </c>
      <c r="K289" s="149"/>
      <c r="L289" s="56" t="s">
        <v>49</v>
      </c>
      <c r="M289" s="143"/>
      <c r="N289" s="143"/>
      <c r="O289" s="36">
        <v>147.0</v>
      </c>
      <c r="P289" s="40" t="s">
        <v>451</v>
      </c>
      <c r="Q289" s="40" t="s">
        <v>452</v>
      </c>
      <c r="R289" s="144" t="s">
        <v>487</v>
      </c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ht="15.75" customHeight="1">
      <c r="A290" s="24"/>
      <c r="B290" s="34">
        <v>28.0</v>
      </c>
      <c r="C290" s="31">
        <v>46061.0</v>
      </c>
      <c r="D290" s="143"/>
      <c r="E290" s="143"/>
      <c r="F290" s="143"/>
      <c r="G290" s="149"/>
      <c r="H290" s="149" t="s">
        <v>528</v>
      </c>
      <c r="I290" s="149" t="s">
        <v>529</v>
      </c>
      <c r="J290" s="149" t="s">
        <v>450</v>
      </c>
      <c r="K290" s="149"/>
      <c r="L290" s="56" t="s">
        <v>49</v>
      </c>
      <c r="M290" s="143"/>
      <c r="N290" s="143"/>
      <c r="O290" s="40">
        <v>297.0</v>
      </c>
      <c r="P290" s="40" t="s">
        <v>451</v>
      </c>
      <c r="Q290" s="40" t="s">
        <v>452</v>
      </c>
      <c r="R290" s="144" t="s">
        <v>530</v>
      </c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ht="15.75" customHeight="1">
      <c r="A291" s="24"/>
      <c r="B291" s="34">
        <v>29.0</v>
      </c>
      <c r="C291" s="31">
        <v>46061.0</v>
      </c>
      <c r="D291" s="143"/>
      <c r="E291" s="143"/>
      <c r="F291" s="143"/>
      <c r="G291" s="149"/>
      <c r="H291" s="149" t="s">
        <v>408</v>
      </c>
      <c r="I291" s="149" t="s">
        <v>409</v>
      </c>
      <c r="J291" s="149" t="s">
        <v>450</v>
      </c>
      <c r="K291" s="149"/>
      <c r="L291" s="56" t="s">
        <v>49</v>
      </c>
      <c r="M291" s="143"/>
      <c r="N291" s="143"/>
      <c r="O291" s="36">
        <v>147.0</v>
      </c>
      <c r="P291" s="40" t="s">
        <v>451</v>
      </c>
      <c r="Q291" s="40" t="s">
        <v>452</v>
      </c>
      <c r="R291" s="144" t="s">
        <v>531</v>
      </c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ht="15.75" customHeight="1">
      <c r="A292" s="24"/>
      <c r="B292" s="34">
        <v>30.0</v>
      </c>
      <c r="C292" s="31">
        <v>46061.0</v>
      </c>
      <c r="D292" s="143"/>
      <c r="E292" s="143"/>
      <c r="F292" s="143"/>
      <c r="G292" s="149"/>
      <c r="H292" s="149" t="s">
        <v>532</v>
      </c>
      <c r="I292" s="149" t="s">
        <v>533</v>
      </c>
      <c r="J292" s="149" t="s">
        <v>450</v>
      </c>
      <c r="K292" s="149"/>
      <c r="L292" s="56" t="s">
        <v>49</v>
      </c>
      <c r="M292" s="143"/>
      <c r="N292" s="143"/>
      <c r="O292" s="36">
        <v>522.0</v>
      </c>
      <c r="P292" s="40" t="s">
        <v>451</v>
      </c>
      <c r="Q292" s="40" t="s">
        <v>452</v>
      </c>
      <c r="R292" s="144" t="s">
        <v>534</v>
      </c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ht="15.75" customHeight="1">
      <c r="A293" s="24"/>
      <c r="B293" s="34">
        <v>31.0</v>
      </c>
      <c r="C293" s="31">
        <v>46061.0</v>
      </c>
      <c r="D293" s="143"/>
      <c r="E293" s="143"/>
      <c r="F293" s="143"/>
      <c r="G293" s="149"/>
      <c r="H293" s="149" t="s">
        <v>535</v>
      </c>
      <c r="I293" s="149" t="s">
        <v>535</v>
      </c>
      <c r="J293" s="149" t="s">
        <v>536</v>
      </c>
      <c r="K293" s="149"/>
      <c r="L293" s="56" t="s">
        <v>84</v>
      </c>
      <c r="M293" s="143"/>
      <c r="N293" s="143"/>
      <c r="O293" s="36">
        <v>5.0</v>
      </c>
      <c r="P293" s="40" t="s">
        <v>462</v>
      </c>
      <c r="Q293" s="40" t="s">
        <v>452</v>
      </c>
      <c r="R293" s="144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ht="15.75" customHeight="1">
      <c r="A294" s="24"/>
      <c r="B294" s="34">
        <v>32.0</v>
      </c>
      <c r="C294" s="31">
        <v>46061.0</v>
      </c>
      <c r="D294" s="143"/>
      <c r="E294" s="143"/>
      <c r="F294" s="143"/>
      <c r="G294" s="149"/>
      <c r="H294" s="149" t="s">
        <v>537</v>
      </c>
      <c r="I294" s="149" t="s">
        <v>538</v>
      </c>
      <c r="J294" s="149" t="s">
        <v>450</v>
      </c>
      <c r="K294" s="149"/>
      <c r="L294" s="56" t="s">
        <v>49</v>
      </c>
      <c r="M294" s="143"/>
      <c r="N294" s="143"/>
      <c r="O294" s="40">
        <v>252.0</v>
      </c>
      <c r="P294" s="40" t="s">
        <v>451</v>
      </c>
      <c r="Q294" s="40" t="s">
        <v>452</v>
      </c>
      <c r="R294" s="144" t="s">
        <v>539</v>
      </c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ht="15.75" customHeight="1">
      <c r="A295" s="24"/>
      <c r="B295" s="34">
        <v>33.0</v>
      </c>
      <c r="C295" s="31">
        <v>46063.0</v>
      </c>
      <c r="D295" s="143"/>
      <c r="E295" s="143"/>
      <c r="F295" s="143"/>
      <c r="G295" s="149"/>
      <c r="H295" s="149" t="s">
        <v>540</v>
      </c>
      <c r="I295" s="149" t="s">
        <v>541</v>
      </c>
      <c r="J295" s="149" t="s">
        <v>450</v>
      </c>
      <c r="K295" s="149"/>
      <c r="L295" s="56" t="s">
        <v>49</v>
      </c>
      <c r="M295" s="143"/>
      <c r="N295" s="143"/>
      <c r="O295" s="40">
        <v>297.0</v>
      </c>
      <c r="P295" s="40" t="s">
        <v>451</v>
      </c>
      <c r="Q295" s="40" t="s">
        <v>452</v>
      </c>
      <c r="R295" s="144" t="s">
        <v>542</v>
      </c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ht="15.75" customHeight="1">
      <c r="A296" s="24"/>
      <c r="B296" s="34">
        <v>34.0</v>
      </c>
      <c r="C296" s="31">
        <v>46063.0</v>
      </c>
      <c r="D296" s="143"/>
      <c r="E296" s="143"/>
      <c r="F296" s="143"/>
      <c r="G296" s="149"/>
      <c r="H296" s="149" t="s">
        <v>543</v>
      </c>
      <c r="I296" s="149" t="s">
        <v>544</v>
      </c>
      <c r="J296" s="149" t="s">
        <v>450</v>
      </c>
      <c r="K296" s="149"/>
      <c r="L296" s="56" t="s">
        <v>49</v>
      </c>
      <c r="M296" s="143"/>
      <c r="N296" s="143"/>
      <c r="O296" s="36">
        <v>225.0</v>
      </c>
      <c r="P296" s="40" t="s">
        <v>451</v>
      </c>
      <c r="Q296" s="40" t="s">
        <v>452</v>
      </c>
      <c r="R296" s="144" t="s">
        <v>545</v>
      </c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ht="15.75" customHeight="1">
      <c r="A297" s="24"/>
      <c r="B297" s="34">
        <v>35.0</v>
      </c>
      <c r="C297" s="31">
        <v>46063.0</v>
      </c>
      <c r="D297" s="143"/>
      <c r="E297" s="143"/>
      <c r="F297" s="143"/>
      <c r="G297" s="149"/>
      <c r="H297" s="149" t="s">
        <v>546</v>
      </c>
      <c r="I297" s="149" t="s">
        <v>510</v>
      </c>
      <c r="J297" s="149" t="s">
        <v>547</v>
      </c>
      <c r="K297" s="149"/>
      <c r="L297" s="56" t="s">
        <v>49</v>
      </c>
      <c r="M297" s="143"/>
      <c r="N297" s="143"/>
      <c r="O297" s="36">
        <v>467.0</v>
      </c>
      <c r="P297" s="40" t="s">
        <v>518</v>
      </c>
      <c r="Q297" s="40" t="s">
        <v>452</v>
      </c>
      <c r="R297" s="144" t="s">
        <v>475</v>
      </c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ht="15.75" customHeight="1">
      <c r="A298" s="24"/>
      <c r="B298" s="34">
        <v>36.0</v>
      </c>
      <c r="C298" s="31">
        <v>46064.0</v>
      </c>
      <c r="D298" s="78"/>
      <c r="E298" s="78"/>
      <c r="F298" s="78"/>
      <c r="G298" s="149"/>
      <c r="H298" s="149" t="s">
        <v>548</v>
      </c>
      <c r="I298" s="149" t="s">
        <v>549</v>
      </c>
      <c r="J298" s="149" t="s">
        <v>450</v>
      </c>
      <c r="K298" s="149"/>
      <c r="L298" s="56" t="s">
        <v>49</v>
      </c>
      <c r="M298" s="80"/>
      <c r="N298" s="80"/>
      <c r="O298" s="40">
        <v>522.0</v>
      </c>
      <c r="P298" s="40" t="s">
        <v>451</v>
      </c>
      <c r="Q298" s="40" t="s">
        <v>253</v>
      </c>
      <c r="R298" s="151" t="s">
        <v>550</v>
      </c>
      <c r="S298" s="81"/>
      <c r="T298" s="82"/>
      <c r="U298" s="80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ht="15.75" customHeight="1">
      <c r="A299" s="24"/>
      <c r="B299" s="34">
        <v>37.0</v>
      </c>
      <c r="C299" s="31">
        <v>46064.0</v>
      </c>
      <c r="D299" s="143"/>
      <c r="E299" s="143"/>
      <c r="F299" s="143"/>
      <c r="G299" s="149"/>
      <c r="H299" s="149" t="s">
        <v>117</v>
      </c>
      <c r="I299" s="149" t="s">
        <v>551</v>
      </c>
      <c r="J299" s="149" t="s">
        <v>552</v>
      </c>
      <c r="K299" s="149"/>
      <c r="L299" s="56" t="s">
        <v>84</v>
      </c>
      <c r="M299" s="143"/>
      <c r="N299" s="143"/>
      <c r="O299" s="36">
        <v>39.0</v>
      </c>
      <c r="P299" s="40" t="s">
        <v>462</v>
      </c>
      <c r="Q299" s="40" t="s">
        <v>452</v>
      </c>
      <c r="R299" s="14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ht="15.75" customHeight="1">
      <c r="A300" s="24"/>
      <c r="B300" s="34">
        <v>38.0</v>
      </c>
      <c r="C300" s="31">
        <v>46066.0</v>
      </c>
      <c r="D300" s="143"/>
      <c r="E300" s="143"/>
      <c r="F300" s="143"/>
      <c r="G300" s="149"/>
      <c r="H300" s="149" t="s">
        <v>553</v>
      </c>
      <c r="I300" s="149" t="s">
        <v>554</v>
      </c>
      <c r="J300" s="149" t="s">
        <v>450</v>
      </c>
      <c r="K300" s="149"/>
      <c r="L300" s="56" t="s">
        <v>49</v>
      </c>
      <c r="M300" s="143"/>
      <c r="N300" s="143"/>
      <c r="O300" s="40">
        <v>297.0</v>
      </c>
      <c r="P300" s="40" t="s">
        <v>451</v>
      </c>
      <c r="Q300" s="40" t="s">
        <v>452</v>
      </c>
      <c r="R300" s="144" t="s">
        <v>555</v>
      </c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ht="15.75" customHeight="1">
      <c r="A301" s="24"/>
      <c r="B301" s="34">
        <v>39.0</v>
      </c>
      <c r="C301" s="31">
        <v>46066.0</v>
      </c>
      <c r="D301" s="143"/>
      <c r="E301" s="143"/>
      <c r="F301" s="143"/>
      <c r="G301" s="149"/>
      <c r="H301" s="149" t="s">
        <v>556</v>
      </c>
      <c r="I301" s="152" t="s">
        <v>557</v>
      </c>
      <c r="J301" s="149" t="s">
        <v>450</v>
      </c>
      <c r="K301" s="149"/>
      <c r="L301" s="56" t="s">
        <v>49</v>
      </c>
      <c r="M301" s="143"/>
      <c r="N301" s="143"/>
      <c r="O301" s="40">
        <v>297.0</v>
      </c>
      <c r="P301" s="40" t="s">
        <v>451</v>
      </c>
      <c r="Q301" s="40" t="s">
        <v>452</v>
      </c>
      <c r="R301" s="144" t="s">
        <v>558</v>
      </c>
      <c r="S301" s="23"/>
      <c r="T301" s="23"/>
      <c r="U301" s="95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ht="15.75" customHeight="1">
      <c r="A302" s="24"/>
      <c r="B302" s="34">
        <v>40.0</v>
      </c>
      <c r="C302" s="31">
        <v>46066.0</v>
      </c>
      <c r="D302" s="36">
        <v>3.0</v>
      </c>
      <c r="E302" s="36" t="s">
        <v>67</v>
      </c>
      <c r="F302" s="36">
        <v>39.0</v>
      </c>
      <c r="G302" s="149"/>
      <c r="H302" s="149" t="s">
        <v>559</v>
      </c>
      <c r="I302" s="149" t="s">
        <v>560</v>
      </c>
      <c r="J302" s="149" t="s">
        <v>450</v>
      </c>
      <c r="K302" s="149"/>
      <c r="L302" s="56" t="s">
        <v>49</v>
      </c>
      <c r="M302" s="143"/>
      <c r="N302" s="143"/>
      <c r="O302" s="40">
        <v>297.0</v>
      </c>
      <c r="P302" s="40" t="s">
        <v>451</v>
      </c>
      <c r="Q302" s="40" t="s">
        <v>452</v>
      </c>
      <c r="R302" s="144" t="s">
        <v>561</v>
      </c>
      <c r="S302" s="23"/>
      <c r="T302" s="23"/>
      <c r="U302" s="81">
        <f>O302</f>
        <v>297</v>
      </c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ht="15.75" customHeight="1">
      <c r="A303" s="24"/>
      <c r="B303" s="34">
        <v>41.0</v>
      </c>
      <c r="C303" s="31">
        <v>46066.0</v>
      </c>
      <c r="D303" s="143"/>
      <c r="E303" s="143"/>
      <c r="F303" s="143"/>
      <c r="G303" s="149"/>
      <c r="H303" s="149" t="s">
        <v>562</v>
      </c>
      <c r="I303" s="149" t="s">
        <v>562</v>
      </c>
      <c r="J303" s="149" t="s">
        <v>563</v>
      </c>
      <c r="K303" s="149"/>
      <c r="L303" s="56" t="s">
        <v>84</v>
      </c>
      <c r="M303" s="143"/>
      <c r="N303" s="143"/>
      <c r="O303" s="36">
        <v>35.0</v>
      </c>
      <c r="P303" s="40" t="s">
        <v>462</v>
      </c>
      <c r="Q303" s="40" t="s">
        <v>452</v>
      </c>
      <c r="R303" s="14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ht="15.75" customHeight="1">
      <c r="A304" s="24"/>
      <c r="B304" s="34">
        <v>42.0</v>
      </c>
      <c r="C304" s="31">
        <v>46066.0</v>
      </c>
      <c r="D304" s="143"/>
      <c r="E304" s="143"/>
      <c r="F304" s="143"/>
      <c r="G304" s="149"/>
      <c r="H304" s="149" t="s">
        <v>564</v>
      </c>
      <c r="I304" s="149" t="s">
        <v>565</v>
      </c>
      <c r="J304" s="149" t="s">
        <v>566</v>
      </c>
      <c r="K304" s="149"/>
      <c r="L304" s="56" t="s">
        <v>49</v>
      </c>
      <c r="M304" s="143"/>
      <c r="N304" s="143"/>
      <c r="O304" s="36">
        <v>30.0</v>
      </c>
      <c r="P304" s="40" t="s">
        <v>518</v>
      </c>
      <c r="Q304" s="40" t="s">
        <v>452</v>
      </c>
      <c r="R304" s="144" t="s">
        <v>567</v>
      </c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ht="15.75" customHeight="1">
      <c r="A305" s="24"/>
      <c r="B305" s="34">
        <v>43.0</v>
      </c>
      <c r="C305" s="31">
        <v>46067.0</v>
      </c>
      <c r="D305" s="143"/>
      <c r="E305" s="143"/>
      <c r="F305" s="143"/>
      <c r="G305" s="149"/>
      <c r="H305" s="149" t="s">
        <v>568</v>
      </c>
      <c r="I305" s="149" t="s">
        <v>569</v>
      </c>
      <c r="J305" s="149" t="s">
        <v>450</v>
      </c>
      <c r="K305" s="149"/>
      <c r="L305" s="56" t="s">
        <v>49</v>
      </c>
      <c r="M305" s="143"/>
      <c r="N305" s="143"/>
      <c r="O305" s="40">
        <v>297.0</v>
      </c>
      <c r="P305" s="40" t="s">
        <v>451</v>
      </c>
      <c r="Q305" s="40" t="s">
        <v>253</v>
      </c>
      <c r="R305" s="144" t="s">
        <v>570</v>
      </c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ht="15.75" customHeight="1">
      <c r="A306" s="24"/>
      <c r="B306" s="34">
        <v>44.0</v>
      </c>
      <c r="C306" s="31">
        <v>46067.0</v>
      </c>
      <c r="D306" s="143"/>
      <c r="E306" s="143"/>
      <c r="F306" s="143"/>
      <c r="G306" s="149"/>
      <c r="H306" s="149" t="s">
        <v>571</v>
      </c>
      <c r="I306" s="149" t="s">
        <v>572</v>
      </c>
      <c r="J306" s="149" t="s">
        <v>547</v>
      </c>
      <c r="K306" s="149"/>
      <c r="L306" s="56" t="s">
        <v>49</v>
      </c>
      <c r="M306" s="143"/>
      <c r="N306" s="143"/>
      <c r="O306" s="36">
        <v>434.0</v>
      </c>
      <c r="P306" s="40" t="s">
        <v>518</v>
      </c>
      <c r="Q306" s="40" t="s">
        <v>573</v>
      </c>
      <c r="R306" s="144" t="s">
        <v>478</v>
      </c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ht="15.75" customHeight="1">
      <c r="A307" s="24"/>
      <c r="B307" s="34">
        <v>45.0</v>
      </c>
      <c r="C307" s="31">
        <v>46069.0</v>
      </c>
      <c r="D307" s="36">
        <v>3.0</v>
      </c>
      <c r="E307" s="36" t="s">
        <v>67</v>
      </c>
      <c r="F307" s="36">
        <v>40.0</v>
      </c>
      <c r="G307" s="149"/>
      <c r="H307" s="149" t="s">
        <v>574</v>
      </c>
      <c r="I307" s="149" t="s">
        <v>575</v>
      </c>
      <c r="J307" s="149" t="s">
        <v>576</v>
      </c>
      <c r="K307" s="149"/>
      <c r="L307" s="56" t="s">
        <v>49</v>
      </c>
      <c r="M307" s="143"/>
      <c r="N307" s="143"/>
      <c r="O307" s="36">
        <v>426.0</v>
      </c>
      <c r="P307" s="40" t="s">
        <v>518</v>
      </c>
      <c r="Q307" s="40" t="s">
        <v>452</v>
      </c>
      <c r="R307" s="144" t="s">
        <v>577</v>
      </c>
      <c r="S307" s="23"/>
      <c r="T307" s="23"/>
      <c r="U307" s="95">
        <f>O307</f>
        <v>426</v>
      </c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ht="15.75" customHeight="1">
      <c r="A308" s="24"/>
      <c r="B308" s="34">
        <v>46.0</v>
      </c>
      <c r="C308" s="31">
        <v>46070.0</v>
      </c>
      <c r="D308" s="143"/>
      <c r="E308" s="143"/>
      <c r="F308" s="143"/>
      <c r="G308" s="149"/>
      <c r="H308" s="149" t="s">
        <v>578</v>
      </c>
      <c r="I308" s="149" t="s">
        <v>578</v>
      </c>
      <c r="J308" s="149" t="s">
        <v>579</v>
      </c>
      <c r="K308" s="149"/>
      <c r="L308" s="56" t="s">
        <v>84</v>
      </c>
      <c r="M308" s="143"/>
      <c r="N308" s="143"/>
      <c r="O308" s="36">
        <v>240.0</v>
      </c>
      <c r="P308" s="40" t="s">
        <v>451</v>
      </c>
      <c r="Q308" s="40" t="s">
        <v>452</v>
      </c>
      <c r="R308" s="144" t="s">
        <v>580</v>
      </c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ht="15.75" customHeight="1">
      <c r="A309" s="24"/>
      <c r="B309" s="34">
        <v>47.0</v>
      </c>
      <c r="C309" s="31">
        <v>46070.0</v>
      </c>
      <c r="D309" s="143"/>
      <c r="E309" s="143"/>
      <c r="F309" s="143"/>
      <c r="G309" s="149"/>
      <c r="H309" s="149" t="s">
        <v>99</v>
      </c>
      <c r="I309" s="149" t="s">
        <v>100</v>
      </c>
      <c r="J309" s="149" t="s">
        <v>581</v>
      </c>
      <c r="K309" s="149"/>
      <c r="L309" s="56" t="s">
        <v>49</v>
      </c>
      <c r="M309" s="143"/>
      <c r="N309" s="143"/>
      <c r="O309" s="36"/>
      <c r="P309" s="40" t="s">
        <v>451</v>
      </c>
      <c r="Q309" s="40" t="s">
        <v>452</v>
      </c>
      <c r="R309" s="144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ht="15.75" customHeight="1">
      <c r="A310" s="24"/>
      <c r="B310" s="34">
        <v>48.0</v>
      </c>
      <c r="C310" s="31">
        <v>46071.0</v>
      </c>
      <c r="D310" s="143"/>
      <c r="E310" s="143"/>
      <c r="F310" s="143"/>
      <c r="G310" s="149"/>
      <c r="H310" s="149" t="s">
        <v>582</v>
      </c>
      <c r="I310" s="149" t="s">
        <v>582</v>
      </c>
      <c r="J310" s="149" t="s">
        <v>583</v>
      </c>
      <c r="K310" s="149"/>
      <c r="L310" s="56" t="s">
        <v>84</v>
      </c>
      <c r="M310" s="143"/>
      <c r="N310" s="143"/>
      <c r="O310" s="40">
        <v>30.0</v>
      </c>
      <c r="P310" s="40" t="s">
        <v>462</v>
      </c>
      <c r="Q310" s="40" t="s">
        <v>452</v>
      </c>
      <c r="R310" s="144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ht="15.75" customHeight="1">
      <c r="A311" s="24"/>
      <c r="B311" s="34">
        <v>49.0</v>
      </c>
      <c r="C311" s="31">
        <v>46072.0</v>
      </c>
      <c r="D311" s="143"/>
      <c r="E311" s="143"/>
      <c r="F311" s="143"/>
      <c r="G311" s="149"/>
      <c r="H311" s="149" t="s">
        <v>584</v>
      </c>
      <c r="I311" s="149" t="s">
        <v>585</v>
      </c>
      <c r="J311" s="149" t="s">
        <v>450</v>
      </c>
      <c r="K311" s="149"/>
      <c r="L311" s="56" t="s">
        <v>49</v>
      </c>
      <c r="M311" s="143"/>
      <c r="N311" s="143"/>
      <c r="O311" s="40">
        <v>297.0</v>
      </c>
      <c r="P311" s="40" t="s">
        <v>462</v>
      </c>
      <c r="Q311" s="40" t="s">
        <v>586</v>
      </c>
      <c r="R311" s="144" t="s">
        <v>587</v>
      </c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ht="15.75" customHeight="1">
      <c r="A312" s="24"/>
      <c r="B312" s="34">
        <v>50.0</v>
      </c>
      <c r="C312" s="31">
        <v>46073.0</v>
      </c>
      <c r="D312" s="36">
        <v>3.0</v>
      </c>
      <c r="E312" s="36" t="s">
        <v>67</v>
      </c>
      <c r="F312" s="36">
        <v>33.0</v>
      </c>
      <c r="G312" s="153">
        <v>7.250573E7</v>
      </c>
      <c r="H312" s="154" t="s">
        <v>588</v>
      </c>
      <c r="I312" s="149" t="s">
        <v>589</v>
      </c>
      <c r="J312" s="149" t="s">
        <v>450</v>
      </c>
      <c r="K312" s="149"/>
      <c r="L312" s="56" t="s">
        <v>49</v>
      </c>
      <c r="M312" s="143"/>
      <c r="N312" s="143"/>
      <c r="O312" s="40">
        <v>297.0</v>
      </c>
      <c r="P312" s="40" t="s">
        <v>451</v>
      </c>
      <c r="Q312" s="40" t="s">
        <v>253</v>
      </c>
      <c r="R312" s="144" t="s">
        <v>590</v>
      </c>
      <c r="S312" s="71">
        <f>O312</f>
        <v>297</v>
      </c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ht="15.75" customHeight="1">
      <c r="A313" s="24"/>
      <c r="B313" s="34">
        <v>51.0</v>
      </c>
      <c r="C313" s="31">
        <v>46074.0</v>
      </c>
      <c r="D313" s="143"/>
      <c r="E313" s="143"/>
      <c r="F313" s="143"/>
      <c r="G313" s="149"/>
      <c r="H313" s="149" t="s">
        <v>591</v>
      </c>
      <c r="I313" s="149" t="s">
        <v>592</v>
      </c>
      <c r="J313" s="155" t="s">
        <v>243</v>
      </c>
      <c r="K313" s="155"/>
      <c r="L313" s="56" t="s">
        <v>49</v>
      </c>
      <c r="M313" s="143"/>
      <c r="N313" s="143"/>
      <c r="O313" s="36">
        <f>329+67+30</f>
        <v>426</v>
      </c>
      <c r="P313" s="40" t="s">
        <v>518</v>
      </c>
      <c r="Q313" s="40" t="s">
        <v>452</v>
      </c>
      <c r="R313" s="14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ht="15.75" customHeight="1">
      <c r="A314" s="24"/>
      <c r="B314" s="34">
        <v>52.0</v>
      </c>
      <c r="C314" s="31">
        <v>46076.0</v>
      </c>
      <c r="D314" s="143"/>
      <c r="E314" s="143"/>
      <c r="F314" s="143"/>
      <c r="G314" s="149"/>
      <c r="H314" s="149" t="s">
        <v>593</v>
      </c>
      <c r="I314" s="149" t="s">
        <v>593</v>
      </c>
      <c r="J314" s="155" t="s">
        <v>536</v>
      </c>
      <c r="K314" s="155"/>
      <c r="L314" s="56" t="s">
        <v>84</v>
      </c>
      <c r="M314" s="143"/>
      <c r="N314" s="143"/>
      <c r="O314" s="36">
        <v>4.5</v>
      </c>
      <c r="P314" s="40" t="s">
        <v>462</v>
      </c>
      <c r="Q314" s="40" t="s">
        <v>452</v>
      </c>
      <c r="R314" s="14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ht="15.75" customHeight="1">
      <c r="A315" s="24"/>
      <c r="B315" s="34">
        <v>53.0</v>
      </c>
      <c r="C315" s="31">
        <v>46076.0</v>
      </c>
      <c r="D315" s="143"/>
      <c r="E315" s="143"/>
      <c r="F315" s="143"/>
      <c r="G315" s="149"/>
      <c r="H315" s="149" t="s">
        <v>594</v>
      </c>
      <c r="I315" s="149" t="s">
        <v>595</v>
      </c>
      <c r="J315" s="149" t="s">
        <v>450</v>
      </c>
      <c r="K315" s="149"/>
      <c r="L315" s="56" t="s">
        <v>49</v>
      </c>
      <c r="M315" s="143"/>
      <c r="N315" s="143"/>
      <c r="O315" s="40">
        <v>297.0</v>
      </c>
      <c r="P315" s="40" t="s">
        <v>462</v>
      </c>
      <c r="Q315" s="40" t="s">
        <v>586</v>
      </c>
      <c r="R315" s="144" t="s">
        <v>596</v>
      </c>
      <c r="S315" s="23"/>
      <c r="T315" s="23"/>
      <c r="U315" s="95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ht="15.75" customHeight="1">
      <c r="A316" s="24"/>
      <c r="B316" s="34">
        <v>54.0</v>
      </c>
      <c r="C316" s="31">
        <v>46076.0</v>
      </c>
      <c r="D316" s="143"/>
      <c r="E316" s="143"/>
      <c r="F316" s="143"/>
      <c r="G316" s="149"/>
      <c r="H316" s="149" t="s">
        <v>597</v>
      </c>
      <c r="I316" s="149" t="s">
        <v>598</v>
      </c>
      <c r="J316" s="149" t="s">
        <v>599</v>
      </c>
      <c r="K316" s="149"/>
      <c r="L316" s="56" t="s">
        <v>49</v>
      </c>
      <c r="M316" s="143"/>
      <c r="N316" s="143"/>
      <c r="O316" s="36">
        <v>200.0</v>
      </c>
      <c r="P316" s="40" t="s">
        <v>462</v>
      </c>
      <c r="Q316" s="40" t="s">
        <v>586</v>
      </c>
      <c r="R316" s="14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ht="15.75" customHeight="1">
      <c r="A317" s="24"/>
      <c r="B317" s="34">
        <v>55.0</v>
      </c>
      <c r="C317" s="31">
        <v>46077.0</v>
      </c>
      <c r="D317" s="143"/>
      <c r="E317" s="143"/>
      <c r="F317" s="143"/>
      <c r="G317" s="149"/>
      <c r="H317" s="149" t="s">
        <v>600</v>
      </c>
      <c r="I317" s="149" t="s">
        <v>600</v>
      </c>
      <c r="J317" s="149" t="s">
        <v>240</v>
      </c>
      <c r="K317" s="149"/>
      <c r="L317" s="56" t="s">
        <v>49</v>
      </c>
      <c r="M317" s="143"/>
      <c r="N317" s="143"/>
      <c r="O317" s="36">
        <v>30.0</v>
      </c>
      <c r="P317" s="40" t="s">
        <v>518</v>
      </c>
      <c r="Q317" s="40" t="s">
        <v>452</v>
      </c>
      <c r="R317" s="14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ht="15.75" customHeight="1">
      <c r="A318" s="24"/>
      <c r="B318" s="34">
        <v>56.0</v>
      </c>
      <c r="C318" s="31">
        <v>46077.0</v>
      </c>
      <c r="D318" s="36">
        <v>3.0</v>
      </c>
      <c r="E318" s="36" t="s">
        <v>67</v>
      </c>
      <c r="F318" s="36">
        <v>34.0</v>
      </c>
      <c r="G318" s="156">
        <v>4.6051818E7</v>
      </c>
      <c r="H318" s="157" t="s">
        <v>601</v>
      </c>
      <c r="I318" s="149" t="s">
        <v>602</v>
      </c>
      <c r="J318" s="149" t="s">
        <v>603</v>
      </c>
      <c r="K318" s="149"/>
      <c r="L318" s="56" t="s">
        <v>49</v>
      </c>
      <c r="M318" s="143"/>
      <c r="N318" s="143"/>
      <c r="O318" s="36">
        <v>329.0</v>
      </c>
      <c r="P318" s="40" t="s">
        <v>451</v>
      </c>
      <c r="Q318" s="40" t="s">
        <v>452</v>
      </c>
      <c r="R318" s="143"/>
      <c r="S318" s="23">
        <f t="shared" ref="S318:S319" si="10">O318</f>
        <v>329</v>
      </c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ht="15.75" customHeight="1">
      <c r="A319" s="24"/>
      <c r="B319" s="34">
        <v>57.0</v>
      </c>
      <c r="C319" s="31">
        <v>46077.0</v>
      </c>
      <c r="D319" s="36">
        <v>3.0</v>
      </c>
      <c r="E319" s="36" t="s">
        <v>67</v>
      </c>
      <c r="F319" s="36">
        <v>34.0</v>
      </c>
      <c r="G319" s="156">
        <v>4.6051818E7</v>
      </c>
      <c r="H319" s="154" t="s">
        <v>601</v>
      </c>
      <c r="I319" s="149" t="s">
        <v>602</v>
      </c>
      <c r="J319" s="149" t="s">
        <v>255</v>
      </c>
      <c r="K319" s="149"/>
      <c r="L319" s="56" t="s">
        <v>49</v>
      </c>
      <c r="M319" s="143"/>
      <c r="N319" s="143"/>
      <c r="O319" s="36">
        <v>67.0</v>
      </c>
      <c r="P319" s="40" t="s">
        <v>451</v>
      </c>
      <c r="Q319" s="40" t="s">
        <v>452</v>
      </c>
      <c r="R319" s="143"/>
      <c r="S319" s="23">
        <f t="shared" si="10"/>
        <v>67</v>
      </c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ht="15.75" customHeight="1">
      <c r="A320" s="24"/>
      <c r="B320" s="34">
        <v>58.0</v>
      </c>
      <c r="C320" s="31">
        <v>46078.0</v>
      </c>
      <c r="D320" s="143"/>
      <c r="E320" s="143"/>
      <c r="F320" s="143"/>
      <c r="G320" s="149"/>
      <c r="H320" s="149" t="s">
        <v>604</v>
      </c>
      <c r="I320" s="149" t="s">
        <v>605</v>
      </c>
      <c r="J320" s="149" t="s">
        <v>93</v>
      </c>
      <c r="K320" s="149"/>
      <c r="L320" s="56" t="s">
        <v>49</v>
      </c>
      <c r="M320" s="143"/>
      <c r="N320" s="143"/>
      <c r="O320" s="36">
        <v>297.0</v>
      </c>
      <c r="P320" s="40" t="s">
        <v>451</v>
      </c>
      <c r="Q320" s="40" t="s">
        <v>253</v>
      </c>
      <c r="R320" s="14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ht="15.75" customHeight="1">
      <c r="A321" s="24"/>
      <c r="B321" s="34">
        <v>59.0</v>
      </c>
      <c r="C321" s="31">
        <v>46080.0</v>
      </c>
      <c r="D321" s="143"/>
      <c r="E321" s="143"/>
      <c r="F321" s="143"/>
      <c r="G321" s="36"/>
      <c r="H321" s="36" t="s">
        <v>606</v>
      </c>
      <c r="I321" s="36" t="s">
        <v>606</v>
      </c>
      <c r="J321" s="149" t="s">
        <v>450</v>
      </c>
      <c r="K321" s="149"/>
      <c r="L321" s="56" t="s">
        <v>49</v>
      </c>
      <c r="M321" s="143"/>
      <c r="N321" s="143"/>
      <c r="O321" s="36">
        <v>297.0</v>
      </c>
      <c r="P321" s="40" t="s">
        <v>451</v>
      </c>
      <c r="Q321" s="40" t="s">
        <v>452</v>
      </c>
      <c r="R321" s="14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ht="15.75" customHeight="1">
      <c r="A322" s="24"/>
      <c r="B322" s="34">
        <v>60.0</v>
      </c>
      <c r="C322" s="31">
        <v>46080.0</v>
      </c>
      <c r="D322" s="143"/>
      <c r="E322" s="143"/>
      <c r="F322" s="143"/>
      <c r="G322" s="36"/>
      <c r="H322" s="36" t="s">
        <v>607</v>
      </c>
      <c r="I322" s="36" t="s">
        <v>608</v>
      </c>
      <c r="J322" s="149" t="s">
        <v>450</v>
      </c>
      <c r="K322" s="149"/>
      <c r="L322" s="56" t="s">
        <v>49</v>
      </c>
      <c r="M322" s="143"/>
      <c r="N322" s="143"/>
      <c r="O322" s="36">
        <v>297.0</v>
      </c>
      <c r="P322" s="40" t="s">
        <v>451</v>
      </c>
      <c r="Q322" s="40" t="s">
        <v>452</v>
      </c>
      <c r="R322" s="14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ht="15.75" customHeight="1">
      <c r="A323" s="24"/>
      <c r="B323" s="34">
        <v>61.0</v>
      </c>
      <c r="C323" s="31">
        <v>46080.0</v>
      </c>
      <c r="D323" s="143"/>
      <c r="E323" s="143"/>
      <c r="F323" s="143"/>
      <c r="G323" s="36"/>
      <c r="H323" s="36" t="s">
        <v>609</v>
      </c>
      <c r="I323" s="36" t="s">
        <v>609</v>
      </c>
      <c r="J323" s="36" t="s">
        <v>610</v>
      </c>
      <c r="K323" s="36"/>
      <c r="L323" s="56" t="s">
        <v>49</v>
      </c>
      <c r="M323" s="143"/>
      <c r="N323" s="143"/>
      <c r="O323" s="36">
        <v>80.0</v>
      </c>
      <c r="P323" s="40" t="s">
        <v>518</v>
      </c>
      <c r="Q323" s="40" t="s">
        <v>452</v>
      </c>
      <c r="R323" s="14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ht="15.75" customHeight="1">
      <c r="A324" s="24"/>
      <c r="B324" s="34">
        <v>62.0</v>
      </c>
      <c r="C324" s="31">
        <v>46081.0</v>
      </c>
      <c r="D324" s="143"/>
      <c r="E324" s="143"/>
      <c r="F324" s="143"/>
      <c r="G324" s="36"/>
      <c r="H324" s="36" t="s">
        <v>611</v>
      </c>
      <c r="I324" s="36" t="s">
        <v>612</v>
      </c>
      <c r="J324" s="149" t="s">
        <v>450</v>
      </c>
      <c r="K324" s="149"/>
      <c r="L324" s="56" t="s">
        <v>49</v>
      </c>
      <c r="M324" s="143"/>
      <c r="N324" s="143"/>
      <c r="O324" s="36">
        <v>297.0</v>
      </c>
      <c r="P324" s="40" t="s">
        <v>451</v>
      </c>
      <c r="Q324" s="40" t="s">
        <v>452</v>
      </c>
      <c r="R324" s="14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ht="15.75" customHeight="1">
      <c r="A325" s="24"/>
      <c r="B325" s="34">
        <v>63.0</v>
      </c>
      <c r="C325" s="31">
        <v>46081.0</v>
      </c>
      <c r="D325" s="36">
        <v>3.0</v>
      </c>
      <c r="E325" s="36" t="s">
        <v>67</v>
      </c>
      <c r="F325" s="36">
        <v>36.0</v>
      </c>
      <c r="G325" s="156">
        <v>4.4528555E7</v>
      </c>
      <c r="H325" s="154" t="s">
        <v>613</v>
      </c>
      <c r="I325" s="36" t="s">
        <v>538</v>
      </c>
      <c r="J325" s="149" t="s">
        <v>450</v>
      </c>
      <c r="K325" s="149"/>
      <c r="L325" s="56" t="s">
        <v>49</v>
      </c>
      <c r="M325" s="143"/>
      <c r="N325" s="143"/>
      <c r="O325" s="36">
        <v>252.0</v>
      </c>
      <c r="P325" s="40" t="s">
        <v>451</v>
      </c>
      <c r="Q325" s="40" t="s">
        <v>452</v>
      </c>
      <c r="R325" s="143"/>
      <c r="S325" s="23">
        <f>O325</f>
        <v>252</v>
      </c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ht="15.75" customHeight="1">
      <c r="A326" s="24"/>
      <c r="B326" s="34">
        <v>64.0</v>
      </c>
      <c r="C326" s="31">
        <v>46081.0</v>
      </c>
      <c r="D326" s="143"/>
      <c r="E326" s="143"/>
      <c r="F326" s="143"/>
      <c r="G326" s="36"/>
      <c r="H326" s="36" t="s">
        <v>614</v>
      </c>
      <c r="I326" s="36" t="s">
        <v>614</v>
      </c>
      <c r="J326" s="149" t="s">
        <v>450</v>
      </c>
      <c r="K326" s="149"/>
      <c r="L326" s="56" t="s">
        <v>49</v>
      </c>
      <c r="M326" s="143"/>
      <c r="N326" s="143"/>
      <c r="O326" s="36">
        <v>297.0</v>
      </c>
      <c r="P326" s="40" t="s">
        <v>451</v>
      </c>
      <c r="Q326" s="40" t="s">
        <v>452</v>
      </c>
      <c r="R326" s="14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ht="15.75" customHeight="1">
      <c r="A327" s="24"/>
      <c r="B327" s="34">
        <v>65.0</v>
      </c>
      <c r="C327" s="31">
        <v>46081.0</v>
      </c>
      <c r="D327" s="36">
        <v>3.0</v>
      </c>
      <c r="E327" s="36" t="s">
        <v>67</v>
      </c>
      <c r="F327" s="36">
        <v>41.0</v>
      </c>
      <c r="G327" s="36"/>
      <c r="H327" s="36" t="s">
        <v>591</v>
      </c>
      <c r="I327" s="36" t="s">
        <v>615</v>
      </c>
      <c r="J327" s="158" t="s">
        <v>616</v>
      </c>
      <c r="K327" s="158"/>
      <c r="L327" s="56" t="s">
        <v>84</v>
      </c>
      <c r="M327" s="143"/>
      <c r="N327" s="143"/>
      <c r="O327" s="36">
        <v>259.0</v>
      </c>
      <c r="P327" s="40" t="s">
        <v>462</v>
      </c>
      <c r="Q327" s="40" t="s">
        <v>452</v>
      </c>
      <c r="R327" s="143"/>
      <c r="S327" s="23"/>
      <c r="T327" s="23"/>
      <c r="U327" s="95">
        <f>O327</f>
        <v>259</v>
      </c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ht="15.75" customHeight="1">
      <c r="A328" s="24"/>
      <c r="B328" s="34">
        <v>66.0</v>
      </c>
      <c r="C328" s="31">
        <v>46081.0</v>
      </c>
      <c r="D328" s="143"/>
      <c r="E328" s="143"/>
      <c r="F328" s="143"/>
      <c r="G328" s="36"/>
      <c r="H328" s="36" t="s">
        <v>615</v>
      </c>
      <c r="I328" s="36" t="s">
        <v>615</v>
      </c>
      <c r="J328" s="36" t="s">
        <v>617</v>
      </c>
      <c r="K328" s="36"/>
      <c r="L328" s="56" t="s">
        <v>84</v>
      </c>
      <c r="M328" s="143"/>
      <c r="N328" s="143"/>
      <c r="O328" s="36">
        <v>35.0</v>
      </c>
      <c r="P328" s="40" t="s">
        <v>462</v>
      </c>
      <c r="Q328" s="40" t="s">
        <v>452</v>
      </c>
      <c r="R328" s="14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ht="15.75" customHeight="1">
      <c r="A329" s="24"/>
      <c r="B329" s="34">
        <v>81.0</v>
      </c>
      <c r="C329" s="31">
        <v>46079.0</v>
      </c>
      <c r="D329" s="36">
        <v>3.0</v>
      </c>
      <c r="E329" s="36" t="s">
        <v>67</v>
      </c>
      <c r="F329" s="36">
        <v>32.0</v>
      </c>
      <c r="G329" s="153">
        <v>4.0835655E7</v>
      </c>
      <c r="H329" s="36" t="s">
        <v>618</v>
      </c>
      <c r="I329" s="36" t="s">
        <v>619</v>
      </c>
      <c r="J329" s="149" t="s">
        <v>450</v>
      </c>
      <c r="K329" s="149"/>
      <c r="L329" s="56" t="s">
        <v>49</v>
      </c>
      <c r="M329" s="143"/>
      <c r="N329" s="143"/>
      <c r="O329" s="36">
        <v>297.0</v>
      </c>
      <c r="P329" s="40" t="s">
        <v>451</v>
      </c>
      <c r="Q329" s="40" t="s">
        <v>586</v>
      </c>
      <c r="R329" s="143"/>
      <c r="S329" s="23">
        <f>O329</f>
        <v>297</v>
      </c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ht="15.75" customHeight="1">
      <c r="A330" s="24"/>
      <c r="B330" s="34"/>
      <c r="C330" s="159"/>
      <c r="D330" s="143"/>
      <c r="E330" s="143"/>
      <c r="F330" s="143"/>
      <c r="G330" s="36"/>
      <c r="H330" s="36"/>
      <c r="I330" s="36"/>
      <c r="J330" s="149"/>
      <c r="K330" s="149"/>
      <c r="L330" s="56"/>
      <c r="M330" s="143"/>
      <c r="N330" s="143"/>
      <c r="O330" s="36"/>
      <c r="P330" s="40"/>
      <c r="Q330" s="40"/>
      <c r="R330" s="14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A331" s="87"/>
      <c r="B331" s="88"/>
      <c r="C331" s="159"/>
      <c r="D331" s="78"/>
      <c r="E331" s="78"/>
      <c r="F331" s="78"/>
      <c r="G331" s="79"/>
      <c r="H331" s="152"/>
      <c r="I331" s="160"/>
      <c r="J331" s="149"/>
      <c r="K331" s="149"/>
      <c r="L331" s="161"/>
      <c r="M331" s="80"/>
      <c r="N331" s="80"/>
      <c r="O331" s="80">
        <f>SUM(O263:O329)</f>
        <v>16931.5</v>
      </c>
      <c r="P331" s="80"/>
      <c r="Q331" s="80"/>
      <c r="R331" s="80"/>
      <c r="S331" s="80">
        <f>SUM(S263:S329)</f>
        <v>1676</v>
      </c>
      <c r="T331" s="82"/>
      <c r="U331" s="80">
        <f>SUM(U263:U329)</f>
        <v>1576</v>
      </c>
      <c r="V331" s="81">
        <f>S331+U331</f>
        <v>3252</v>
      </c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ht="15.75" customHeight="1">
      <c r="A332" s="84"/>
      <c r="B332" s="8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ht="15.75" customHeight="1">
      <c r="A333" s="5"/>
      <c r="B333" s="9" t="s">
        <v>620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7"/>
      <c r="P333" s="5"/>
      <c r="Q333" s="5"/>
      <c r="R333" s="14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ht="15.75" customHeight="1">
      <c r="A334" s="84"/>
      <c r="B334" s="8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14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ht="15.75" customHeight="1">
      <c r="A335" s="85"/>
      <c r="B335" s="32" t="s">
        <v>1</v>
      </c>
      <c r="C335" s="32" t="s">
        <v>3</v>
      </c>
      <c r="D335" s="35" t="s">
        <v>4</v>
      </c>
      <c r="E335" s="7"/>
      <c r="F335" s="8"/>
      <c r="G335" s="86"/>
      <c r="H335" s="30" t="s">
        <v>29</v>
      </c>
      <c r="I335" s="32" t="s">
        <v>30</v>
      </c>
      <c r="J335" s="32" t="s">
        <v>7</v>
      </c>
      <c r="K335" s="48"/>
      <c r="L335" s="30" t="s">
        <v>34</v>
      </c>
      <c r="M335" s="32" t="s">
        <v>37</v>
      </c>
      <c r="N335" s="32" t="s">
        <v>10</v>
      </c>
      <c r="O335" s="32" t="s">
        <v>38</v>
      </c>
      <c r="P335" s="43" t="s">
        <v>39</v>
      </c>
      <c r="Q335" s="43" t="s">
        <v>40</v>
      </c>
      <c r="R335" s="14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ht="15.75" customHeight="1">
      <c r="A336" s="85"/>
      <c r="B336" s="11"/>
      <c r="C336" s="11"/>
      <c r="D336" s="48" t="s">
        <v>12</v>
      </c>
      <c r="E336" s="48" t="s">
        <v>13</v>
      </c>
      <c r="F336" s="48" t="s">
        <v>14</v>
      </c>
      <c r="G336" s="86"/>
      <c r="H336" s="11"/>
      <c r="I336" s="11"/>
      <c r="J336" s="11"/>
      <c r="K336" s="48"/>
      <c r="L336" s="11"/>
      <c r="M336" s="11"/>
      <c r="N336" s="11"/>
      <c r="O336" s="11"/>
      <c r="P336" s="11"/>
      <c r="Q336" s="11"/>
      <c r="R336" s="14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A337" s="24"/>
      <c r="B337" s="34">
        <v>1.0</v>
      </c>
      <c r="C337" s="159">
        <v>46083.0</v>
      </c>
      <c r="D337" s="162"/>
      <c r="E337" s="162"/>
      <c r="F337" s="162"/>
      <c r="G337" s="162"/>
      <c r="H337" s="163" t="s">
        <v>621</v>
      </c>
      <c r="I337" s="164" t="s">
        <v>622</v>
      </c>
      <c r="J337" s="165" t="s">
        <v>450</v>
      </c>
      <c r="K337" s="165"/>
      <c r="L337" s="56" t="s">
        <v>49</v>
      </c>
      <c r="M337" s="143"/>
      <c r="N337" s="143"/>
      <c r="O337" s="36">
        <v>297.0</v>
      </c>
      <c r="P337" s="40" t="s">
        <v>451</v>
      </c>
      <c r="Q337" s="40" t="s">
        <v>586</v>
      </c>
      <c r="R337" s="80"/>
      <c r="S337" s="80"/>
      <c r="T337" s="82"/>
      <c r="U337" s="80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</row>
    <row r="338" ht="15.75" customHeight="1">
      <c r="A338" s="24"/>
      <c r="B338" s="34">
        <v>2.0</v>
      </c>
      <c r="C338" s="159">
        <v>46083.0</v>
      </c>
      <c r="D338" s="143"/>
      <c r="E338" s="143"/>
      <c r="F338" s="143"/>
      <c r="G338" s="36"/>
      <c r="H338" s="36" t="s">
        <v>623</v>
      </c>
      <c r="I338" s="36" t="s">
        <v>624</v>
      </c>
      <c r="J338" s="149" t="s">
        <v>566</v>
      </c>
      <c r="K338" s="149"/>
      <c r="L338" s="56" t="s">
        <v>49</v>
      </c>
      <c r="M338" s="143"/>
      <c r="N338" s="143"/>
      <c r="O338" s="36">
        <v>30.0</v>
      </c>
      <c r="P338" s="40" t="s">
        <v>451</v>
      </c>
      <c r="Q338" s="40" t="s">
        <v>586</v>
      </c>
      <c r="R338" s="14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ht="15.75" customHeight="1">
      <c r="A339" s="24"/>
      <c r="B339" s="34">
        <v>3.0</v>
      </c>
      <c r="C339" s="159">
        <v>46083.0</v>
      </c>
      <c r="D339" s="143"/>
      <c r="E339" s="143"/>
      <c r="F339" s="143"/>
      <c r="G339" s="36"/>
      <c r="H339" s="152" t="s">
        <v>625</v>
      </c>
      <c r="I339" s="152" t="s">
        <v>626</v>
      </c>
      <c r="J339" s="166" t="s">
        <v>627</v>
      </c>
      <c r="K339" s="166"/>
      <c r="L339" s="56" t="s">
        <v>49</v>
      </c>
      <c r="M339" s="143"/>
      <c r="N339" s="143"/>
      <c r="O339" s="36">
        <v>150.0</v>
      </c>
      <c r="P339" s="40" t="s">
        <v>451</v>
      </c>
      <c r="Q339" s="40" t="s">
        <v>452</v>
      </c>
      <c r="R339" s="14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ht="15.75" customHeight="1">
      <c r="A340" s="24"/>
      <c r="B340" s="34">
        <v>4.0</v>
      </c>
      <c r="C340" s="167">
        <v>46084.0</v>
      </c>
      <c r="D340" s="143"/>
      <c r="E340" s="143"/>
      <c r="F340" s="143"/>
      <c r="G340" s="36"/>
      <c r="H340" s="152" t="s">
        <v>628</v>
      </c>
      <c r="I340" s="168" t="s">
        <v>629</v>
      </c>
      <c r="J340" s="166" t="s">
        <v>630</v>
      </c>
      <c r="K340" s="166"/>
      <c r="L340" s="56" t="s">
        <v>84</v>
      </c>
      <c r="M340" s="143"/>
      <c r="N340" s="143"/>
      <c r="O340" s="36">
        <v>5.0</v>
      </c>
      <c r="P340" s="40" t="s">
        <v>462</v>
      </c>
      <c r="Q340" s="40" t="s">
        <v>631</v>
      </c>
      <c r="R340" s="14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ht="15.75" customHeight="1">
      <c r="A341" s="24"/>
      <c r="B341" s="34">
        <v>5.0</v>
      </c>
      <c r="C341" s="167">
        <v>46085.0</v>
      </c>
      <c r="D341" s="36">
        <v>3.0</v>
      </c>
      <c r="E341" s="169" t="s">
        <v>67</v>
      </c>
      <c r="F341" s="170">
        <v>42.0</v>
      </c>
      <c r="G341" s="143"/>
      <c r="H341" s="36" t="s">
        <v>632</v>
      </c>
      <c r="I341" s="36" t="s">
        <v>633</v>
      </c>
      <c r="J341" s="36" t="s">
        <v>634</v>
      </c>
      <c r="K341" s="36"/>
      <c r="L341" s="56" t="s">
        <v>49</v>
      </c>
      <c r="M341" s="143"/>
      <c r="N341" s="143"/>
      <c r="O341" s="36">
        <v>935.2</v>
      </c>
      <c r="P341" s="40" t="s">
        <v>451</v>
      </c>
      <c r="Q341" s="40" t="s">
        <v>586</v>
      </c>
      <c r="R341" s="143"/>
      <c r="S341" s="95">
        <f>O341</f>
        <v>935.2</v>
      </c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ht="15.75" customHeight="1">
      <c r="A342" s="24"/>
      <c r="B342" s="34">
        <v>6.0</v>
      </c>
      <c r="C342" s="167">
        <v>46086.0</v>
      </c>
      <c r="D342" s="143"/>
      <c r="E342" s="143"/>
      <c r="F342" s="143"/>
      <c r="G342" s="143"/>
      <c r="H342" s="171" t="s">
        <v>635</v>
      </c>
      <c r="I342" s="160" t="s">
        <v>636</v>
      </c>
      <c r="J342" s="165" t="s">
        <v>450</v>
      </c>
      <c r="K342" s="165"/>
      <c r="L342" s="56" t="s">
        <v>49</v>
      </c>
      <c r="M342" s="143"/>
      <c r="N342" s="143"/>
      <c r="O342" s="36">
        <v>522.0</v>
      </c>
      <c r="P342" s="40" t="s">
        <v>451</v>
      </c>
      <c r="Q342" s="40" t="s">
        <v>452</v>
      </c>
      <c r="R342" s="14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ht="15.75" customHeight="1">
      <c r="A343" s="24"/>
      <c r="B343" s="34">
        <v>7.0</v>
      </c>
      <c r="C343" s="167">
        <v>46086.0</v>
      </c>
      <c r="D343" s="143"/>
      <c r="E343" s="143"/>
      <c r="F343" s="143"/>
      <c r="G343" s="143"/>
      <c r="H343" s="172" t="s">
        <v>637</v>
      </c>
      <c r="I343" s="173" t="s">
        <v>638</v>
      </c>
      <c r="J343" s="165" t="s">
        <v>450</v>
      </c>
      <c r="K343" s="165"/>
      <c r="L343" s="56" t="s">
        <v>49</v>
      </c>
      <c r="M343" s="143"/>
      <c r="N343" s="143"/>
      <c r="O343" s="36">
        <v>426.0</v>
      </c>
      <c r="P343" s="40" t="s">
        <v>451</v>
      </c>
      <c r="Q343" s="40" t="s">
        <v>253</v>
      </c>
      <c r="R343" s="14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ht="15.75" customHeight="1">
      <c r="A344" s="24"/>
      <c r="B344" s="34">
        <v>8.0</v>
      </c>
      <c r="C344" s="167">
        <v>46086.0</v>
      </c>
      <c r="D344" s="143"/>
      <c r="E344" s="143"/>
      <c r="F344" s="143"/>
      <c r="G344" s="143"/>
      <c r="H344" s="36" t="s">
        <v>639</v>
      </c>
      <c r="I344" s="36" t="s">
        <v>639</v>
      </c>
      <c r="J344" s="36" t="s">
        <v>640</v>
      </c>
      <c r="K344" s="36"/>
      <c r="L344" s="56" t="s">
        <v>49</v>
      </c>
      <c r="M344" s="143"/>
      <c r="N344" s="143"/>
      <c r="O344" s="36">
        <v>20.0</v>
      </c>
      <c r="P344" s="40" t="s">
        <v>518</v>
      </c>
      <c r="Q344" s="40" t="s">
        <v>586</v>
      </c>
      <c r="R344" s="14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ht="15.75" customHeight="1">
      <c r="A345" s="24"/>
      <c r="B345" s="34">
        <v>9.0</v>
      </c>
      <c r="C345" s="167">
        <v>46086.0</v>
      </c>
      <c r="D345" s="143"/>
      <c r="E345" s="143"/>
      <c r="F345" s="143"/>
      <c r="G345" s="143"/>
      <c r="H345" s="36" t="s">
        <v>341</v>
      </c>
      <c r="I345" s="36" t="s">
        <v>554</v>
      </c>
      <c r="J345" s="36" t="s">
        <v>641</v>
      </c>
      <c r="K345" s="36"/>
      <c r="L345" s="56" t="s">
        <v>49</v>
      </c>
      <c r="M345" s="143"/>
      <c r="N345" s="143"/>
      <c r="O345" s="36">
        <v>5.0</v>
      </c>
      <c r="P345" s="40" t="s">
        <v>451</v>
      </c>
      <c r="Q345" s="40" t="s">
        <v>452</v>
      </c>
      <c r="R345" s="14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ht="15.75" customHeight="1">
      <c r="A346" s="24"/>
      <c r="B346" s="34">
        <v>10.0</v>
      </c>
      <c r="C346" s="167">
        <v>46088.0</v>
      </c>
      <c r="D346" s="143"/>
      <c r="E346" s="143"/>
      <c r="F346" s="143"/>
      <c r="G346" s="143"/>
      <c r="H346" s="168" t="s">
        <v>642</v>
      </c>
      <c r="I346" s="36" t="s">
        <v>643</v>
      </c>
      <c r="J346" s="36" t="s">
        <v>450</v>
      </c>
      <c r="K346" s="36"/>
      <c r="L346" s="56" t="s">
        <v>49</v>
      </c>
      <c r="M346" s="143"/>
      <c r="N346" s="143"/>
      <c r="O346" s="36">
        <v>783.0</v>
      </c>
      <c r="P346" s="40" t="s">
        <v>451</v>
      </c>
      <c r="Q346" s="40" t="s">
        <v>452</v>
      </c>
      <c r="R346" s="14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ht="15.75" customHeight="1">
      <c r="A347" s="24"/>
      <c r="B347" s="34">
        <v>11.0</v>
      </c>
      <c r="C347" s="167">
        <v>46088.0</v>
      </c>
      <c r="D347" s="143"/>
      <c r="E347" s="143"/>
      <c r="F347" s="143"/>
      <c r="G347" s="143"/>
      <c r="H347" s="36" t="s">
        <v>644</v>
      </c>
      <c r="I347" s="36" t="s">
        <v>645</v>
      </c>
      <c r="J347" s="36" t="s">
        <v>450</v>
      </c>
      <c r="K347" s="36"/>
      <c r="L347" s="56" t="s">
        <v>49</v>
      </c>
      <c r="M347" s="143"/>
      <c r="N347" s="143"/>
      <c r="O347" s="36">
        <v>297.0</v>
      </c>
      <c r="P347" s="40" t="s">
        <v>451</v>
      </c>
      <c r="Q347" s="40" t="s">
        <v>452</v>
      </c>
      <c r="R347" s="14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ht="15.75" customHeight="1">
      <c r="A348" s="24"/>
      <c r="B348" s="34">
        <v>12.0</v>
      </c>
      <c r="C348" s="167">
        <v>46088.0</v>
      </c>
      <c r="D348" s="143"/>
      <c r="E348" s="143"/>
      <c r="F348" s="143"/>
      <c r="G348" s="143"/>
      <c r="H348" s="168" t="s">
        <v>646</v>
      </c>
      <c r="I348" s="36" t="s">
        <v>647</v>
      </c>
      <c r="J348" s="36" t="s">
        <v>450</v>
      </c>
      <c r="K348" s="36"/>
      <c r="L348" s="56" t="s">
        <v>49</v>
      </c>
      <c r="M348" s="143"/>
      <c r="N348" s="143"/>
      <c r="O348" s="36">
        <v>297.0</v>
      </c>
      <c r="P348" s="40" t="s">
        <v>451</v>
      </c>
      <c r="Q348" s="40" t="s">
        <v>452</v>
      </c>
      <c r="R348" s="14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ht="15.75" customHeight="1">
      <c r="A349" s="24"/>
      <c r="B349" s="34">
        <v>13.0</v>
      </c>
      <c r="C349" s="167">
        <v>46088.0</v>
      </c>
      <c r="D349" s="143"/>
      <c r="E349" s="143"/>
      <c r="F349" s="143"/>
      <c r="G349" s="143"/>
      <c r="H349" s="160" t="s">
        <v>648</v>
      </c>
      <c r="I349" s="160" t="s">
        <v>648</v>
      </c>
      <c r="J349" s="36" t="s">
        <v>450</v>
      </c>
      <c r="K349" s="36"/>
      <c r="L349" s="56" t="s">
        <v>49</v>
      </c>
      <c r="M349" s="143"/>
      <c r="N349" s="143"/>
      <c r="O349" s="36">
        <v>297.0</v>
      </c>
      <c r="P349" s="40" t="s">
        <v>451</v>
      </c>
      <c r="Q349" s="40" t="s">
        <v>253</v>
      </c>
      <c r="R349" s="14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ht="15.75" customHeight="1">
      <c r="A350" s="24"/>
      <c r="B350" s="34">
        <v>14.0</v>
      </c>
      <c r="C350" s="167">
        <v>46090.0</v>
      </c>
      <c r="D350" s="143"/>
      <c r="E350" s="143"/>
      <c r="F350" s="143"/>
      <c r="G350" s="143"/>
      <c r="H350" s="173" t="s">
        <v>649</v>
      </c>
      <c r="I350" s="173" t="s">
        <v>649</v>
      </c>
      <c r="J350" s="36" t="s">
        <v>650</v>
      </c>
      <c r="K350" s="36"/>
      <c r="L350" s="56" t="s">
        <v>84</v>
      </c>
      <c r="M350" s="143"/>
      <c r="N350" s="143"/>
      <c r="O350" s="36">
        <v>500.0</v>
      </c>
      <c r="P350" s="40" t="s">
        <v>462</v>
      </c>
      <c r="Q350" s="40" t="s">
        <v>573</v>
      </c>
      <c r="R350" s="14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ht="15.75" customHeight="1">
      <c r="A351" s="24"/>
      <c r="B351" s="34">
        <v>15.0</v>
      </c>
      <c r="C351" s="167">
        <v>46090.0</v>
      </c>
      <c r="D351" s="143"/>
      <c r="E351" s="143"/>
      <c r="F351" s="143"/>
      <c r="G351" s="143"/>
      <c r="H351" s="36" t="s">
        <v>187</v>
      </c>
      <c r="I351" s="36" t="s">
        <v>403</v>
      </c>
      <c r="J351" s="36" t="s">
        <v>651</v>
      </c>
      <c r="K351" s="36"/>
      <c r="L351" s="56" t="s">
        <v>84</v>
      </c>
      <c r="M351" s="143"/>
      <c r="N351" s="143"/>
      <c r="O351" s="36">
        <v>130.0</v>
      </c>
      <c r="P351" s="40" t="s">
        <v>462</v>
      </c>
      <c r="Q351" s="40" t="s">
        <v>452</v>
      </c>
      <c r="R351" s="14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ht="15.75" customHeight="1">
      <c r="A352" s="24"/>
      <c r="B352" s="34">
        <v>16.0</v>
      </c>
      <c r="C352" s="167">
        <v>46090.0</v>
      </c>
      <c r="D352" s="143"/>
      <c r="E352" s="143"/>
      <c r="F352" s="143"/>
      <c r="G352" s="143"/>
      <c r="H352" s="36" t="s">
        <v>187</v>
      </c>
      <c r="I352" s="36" t="s">
        <v>403</v>
      </c>
      <c r="J352" s="36" t="s">
        <v>651</v>
      </c>
      <c r="K352" s="36"/>
      <c r="L352" s="56" t="s">
        <v>84</v>
      </c>
      <c r="M352" s="143"/>
      <c r="N352" s="143"/>
      <c r="O352" s="36">
        <v>10.0</v>
      </c>
      <c r="P352" s="40" t="s">
        <v>462</v>
      </c>
      <c r="Q352" s="40" t="s">
        <v>631</v>
      </c>
      <c r="R352" s="14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ht="15.75" customHeight="1">
      <c r="A353" s="24"/>
      <c r="B353" s="34">
        <v>17.0</v>
      </c>
      <c r="C353" s="167">
        <v>46090.0</v>
      </c>
      <c r="D353" s="143"/>
      <c r="E353" s="143"/>
      <c r="F353" s="143"/>
      <c r="G353" s="143"/>
      <c r="H353" s="36" t="s">
        <v>652</v>
      </c>
      <c r="I353" s="36" t="s">
        <v>653</v>
      </c>
      <c r="J353" s="36" t="s">
        <v>59</v>
      </c>
      <c r="K353" s="36"/>
      <c r="L353" s="56" t="s">
        <v>49</v>
      </c>
      <c r="M353" s="143"/>
      <c r="N353" s="143"/>
      <c r="O353" s="36">
        <v>30.0</v>
      </c>
      <c r="P353" s="40" t="s">
        <v>518</v>
      </c>
      <c r="Q353" s="40" t="s">
        <v>452</v>
      </c>
      <c r="R353" s="14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ht="15.75" customHeight="1">
      <c r="A354" s="130"/>
      <c r="B354" s="131">
        <v>18.0</v>
      </c>
      <c r="C354" s="174">
        <v>46091.0</v>
      </c>
      <c r="D354" s="175"/>
      <c r="E354" s="175"/>
      <c r="F354" s="175"/>
      <c r="G354" s="175"/>
      <c r="H354" s="133" t="s">
        <v>654</v>
      </c>
      <c r="I354" s="133" t="s">
        <v>655</v>
      </c>
      <c r="J354" s="133" t="s">
        <v>450</v>
      </c>
      <c r="K354" s="133"/>
      <c r="L354" s="134" t="s">
        <v>49</v>
      </c>
      <c r="M354" s="175"/>
      <c r="N354" s="175"/>
      <c r="O354" s="133">
        <v>197.0</v>
      </c>
      <c r="P354" s="136" t="s">
        <v>462</v>
      </c>
      <c r="Q354" s="136" t="s">
        <v>573</v>
      </c>
      <c r="R354" s="175"/>
      <c r="S354" s="176"/>
      <c r="T354" s="176"/>
      <c r="U354" s="177">
        <v>197.0</v>
      </c>
      <c r="V354" s="177" t="s">
        <v>656</v>
      </c>
      <c r="W354" s="178">
        <f>297/1.18</f>
        <v>251.6949153</v>
      </c>
      <c r="X354" s="176"/>
      <c r="Y354" s="176"/>
      <c r="Z354" s="176"/>
      <c r="AA354" s="176"/>
      <c r="AB354" s="176"/>
      <c r="AC354" s="176"/>
      <c r="AD354" s="176"/>
      <c r="AE354" s="176"/>
      <c r="AF354" s="176"/>
      <c r="AG354" s="176"/>
    </row>
    <row r="355" ht="18.75" customHeight="1">
      <c r="A355" s="179"/>
      <c r="B355" s="180">
        <v>19.0</v>
      </c>
      <c r="C355" s="181">
        <v>46091.0</v>
      </c>
      <c r="D355" s="182"/>
      <c r="E355" s="182"/>
      <c r="F355" s="182"/>
      <c r="G355" s="182"/>
      <c r="H355" s="72" t="s">
        <v>657</v>
      </c>
      <c r="I355" s="72" t="s">
        <v>658</v>
      </c>
      <c r="J355" s="72" t="s">
        <v>450</v>
      </c>
      <c r="K355" s="72"/>
      <c r="L355" s="183" t="s">
        <v>49</v>
      </c>
      <c r="M355" s="182"/>
      <c r="N355" s="182"/>
      <c r="O355" s="72">
        <v>197.0</v>
      </c>
      <c r="P355" s="74" t="s">
        <v>451</v>
      </c>
      <c r="Q355" s="74" t="s">
        <v>452</v>
      </c>
      <c r="R355" s="182"/>
      <c r="S355" s="140"/>
      <c r="T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</row>
    <row r="356" ht="18.75" customHeight="1">
      <c r="A356" s="24"/>
      <c r="B356" s="34">
        <v>20.0</v>
      </c>
      <c r="C356" s="167">
        <v>46091.0</v>
      </c>
      <c r="D356" s="143"/>
      <c r="E356" s="143"/>
      <c r="F356" s="143"/>
      <c r="G356" s="143"/>
      <c r="H356" s="36" t="s">
        <v>657</v>
      </c>
      <c r="I356" s="36" t="s">
        <v>658</v>
      </c>
      <c r="J356" s="36" t="s">
        <v>659</v>
      </c>
      <c r="K356" s="36"/>
      <c r="L356" s="56" t="s">
        <v>49</v>
      </c>
      <c r="M356" s="143"/>
      <c r="N356" s="143"/>
      <c r="O356" s="36">
        <v>150.0</v>
      </c>
      <c r="P356" s="40" t="s">
        <v>451</v>
      </c>
      <c r="Q356" s="40" t="s">
        <v>452</v>
      </c>
      <c r="R356" s="14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ht="15.75" customHeight="1">
      <c r="A357" s="24"/>
      <c r="B357" s="34">
        <v>21.0</v>
      </c>
      <c r="C357" s="167">
        <v>46091.0</v>
      </c>
      <c r="D357" s="143"/>
      <c r="E357" s="143"/>
      <c r="F357" s="143"/>
      <c r="G357" s="143"/>
      <c r="H357" s="36" t="s">
        <v>652</v>
      </c>
      <c r="I357" s="36" t="s">
        <v>653</v>
      </c>
      <c r="J357" s="36" t="s">
        <v>660</v>
      </c>
      <c r="K357" s="36"/>
      <c r="L357" s="56" t="s">
        <v>49</v>
      </c>
      <c r="M357" s="143"/>
      <c r="N357" s="143"/>
      <c r="O357" s="36">
        <v>264.0</v>
      </c>
      <c r="P357" s="40" t="s">
        <v>518</v>
      </c>
      <c r="Q357" s="40" t="s">
        <v>631</v>
      </c>
      <c r="R357" s="14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ht="15.75" customHeight="1">
      <c r="A358" s="24"/>
      <c r="B358" s="34">
        <v>22.0</v>
      </c>
      <c r="C358" s="167">
        <v>46092.0</v>
      </c>
      <c r="D358" s="143"/>
      <c r="E358" s="143"/>
      <c r="F358" s="143"/>
      <c r="G358" s="143"/>
      <c r="H358" s="36" t="s">
        <v>661</v>
      </c>
      <c r="I358" s="36" t="s">
        <v>662</v>
      </c>
      <c r="J358" s="36" t="s">
        <v>663</v>
      </c>
      <c r="K358" s="36"/>
      <c r="L358" s="56" t="s">
        <v>49</v>
      </c>
      <c r="M358" s="143"/>
      <c r="N358" s="143"/>
      <c r="O358" s="36">
        <v>1086.0</v>
      </c>
      <c r="P358" s="40" t="s">
        <v>518</v>
      </c>
      <c r="Q358" s="40" t="s">
        <v>573</v>
      </c>
      <c r="R358" s="14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ht="15.75" customHeight="1">
      <c r="A359" s="24"/>
      <c r="B359" s="34">
        <v>23.0</v>
      </c>
      <c r="C359" s="167">
        <v>46092.0</v>
      </c>
      <c r="D359" s="143"/>
      <c r="E359" s="143"/>
      <c r="F359" s="143"/>
      <c r="G359" s="143"/>
      <c r="H359" s="36" t="s">
        <v>190</v>
      </c>
      <c r="I359" s="152" t="s">
        <v>629</v>
      </c>
      <c r="J359" s="60" t="s">
        <v>664</v>
      </c>
      <c r="K359" s="60"/>
      <c r="L359" s="56" t="s">
        <v>84</v>
      </c>
      <c r="M359" s="143"/>
      <c r="N359" s="143"/>
      <c r="O359" s="36">
        <v>25.0</v>
      </c>
      <c r="P359" s="40" t="s">
        <v>518</v>
      </c>
      <c r="Q359" s="40" t="s">
        <v>573</v>
      </c>
      <c r="R359" s="14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ht="15.75" customHeight="1">
      <c r="A360" s="24"/>
      <c r="B360" s="34">
        <v>24.0</v>
      </c>
      <c r="C360" s="167">
        <v>46092.0</v>
      </c>
      <c r="D360" s="143"/>
      <c r="E360" s="143"/>
      <c r="F360" s="143"/>
      <c r="G360" s="143"/>
      <c r="H360" s="36" t="s">
        <v>665</v>
      </c>
      <c r="I360" s="36" t="s">
        <v>666</v>
      </c>
      <c r="J360" s="36" t="s">
        <v>450</v>
      </c>
      <c r="K360" s="36"/>
      <c r="L360" s="56" t="s">
        <v>49</v>
      </c>
      <c r="M360" s="143"/>
      <c r="N360" s="143"/>
      <c r="O360" s="36">
        <v>394.0</v>
      </c>
      <c r="P360" s="40" t="s">
        <v>462</v>
      </c>
      <c r="Q360" s="40" t="s">
        <v>452</v>
      </c>
      <c r="R360" s="14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ht="15.75" customHeight="1">
      <c r="A361" s="130"/>
      <c r="B361" s="131">
        <v>25.0</v>
      </c>
      <c r="C361" s="174">
        <v>46093.0</v>
      </c>
      <c r="D361" s="175"/>
      <c r="E361" s="175"/>
      <c r="F361" s="175"/>
      <c r="G361" s="175"/>
      <c r="H361" s="133" t="s">
        <v>667</v>
      </c>
      <c r="I361" s="133" t="s">
        <v>544</v>
      </c>
      <c r="J361" s="133" t="s">
        <v>450</v>
      </c>
      <c r="K361" s="133"/>
      <c r="L361" s="134" t="s">
        <v>49</v>
      </c>
      <c r="M361" s="175"/>
      <c r="N361" s="175"/>
      <c r="O361" s="133">
        <v>197.0</v>
      </c>
      <c r="P361" s="136" t="s">
        <v>451</v>
      </c>
      <c r="Q361" s="136" t="s">
        <v>452</v>
      </c>
      <c r="R361" s="175"/>
      <c r="S361" s="176"/>
      <c r="T361" s="176"/>
      <c r="U361" s="177">
        <v>197.0</v>
      </c>
      <c r="V361" s="177" t="s">
        <v>656</v>
      </c>
      <c r="W361" s="178">
        <f>297/1.18</f>
        <v>251.6949153</v>
      </c>
      <c r="X361" s="176"/>
      <c r="Y361" s="176"/>
      <c r="Z361" s="176"/>
      <c r="AA361" s="176"/>
      <c r="AB361" s="176"/>
      <c r="AC361" s="176"/>
      <c r="AD361" s="176"/>
      <c r="AE361" s="176"/>
      <c r="AF361" s="176"/>
      <c r="AG361" s="176"/>
    </row>
    <row r="362" ht="15.75" customHeight="1">
      <c r="A362" s="24"/>
      <c r="B362" s="34">
        <v>26.0</v>
      </c>
      <c r="C362" s="167">
        <v>46093.0</v>
      </c>
      <c r="D362" s="143"/>
      <c r="E362" s="143"/>
      <c r="F362" s="143"/>
      <c r="G362" s="143"/>
      <c r="H362" s="171" t="s">
        <v>668</v>
      </c>
      <c r="I362" s="160" t="s">
        <v>669</v>
      </c>
      <c r="J362" s="36" t="s">
        <v>450</v>
      </c>
      <c r="K362" s="36"/>
      <c r="L362" s="56" t="s">
        <v>49</v>
      </c>
      <c r="M362" s="143"/>
      <c r="N362" s="143"/>
      <c r="O362" s="36">
        <v>297.0</v>
      </c>
      <c r="P362" s="40" t="s">
        <v>451</v>
      </c>
      <c r="Q362" s="40" t="s">
        <v>253</v>
      </c>
      <c r="R362" s="143"/>
      <c r="S362" s="23"/>
      <c r="T362" s="23"/>
      <c r="U362" s="23"/>
      <c r="V362" s="23"/>
      <c r="W362" s="23">
        <f>297-100</f>
        <v>197</v>
      </c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ht="15.75" customHeight="1">
      <c r="A363" s="24"/>
      <c r="B363" s="34">
        <v>27.0</v>
      </c>
      <c r="C363" s="167">
        <v>46094.0</v>
      </c>
      <c r="D363" s="143"/>
      <c r="E363" s="143"/>
      <c r="F363" s="143"/>
      <c r="G363" s="143"/>
      <c r="H363" s="171" t="s">
        <v>668</v>
      </c>
      <c r="I363" s="160" t="s">
        <v>669</v>
      </c>
      <c r="J363" s="36" t="s">
        <v>670</v>
      </c>
      <c r="K363" s="36"/>
      <c r="L363" s="56" t="s">
        <v>84</v>
      </c>
      <c r="M363" s="143"/>
      <c r="N363" s="143"/>
      <c r="O363" s="36">
        <v>20.0</v>
      </c>
      <c r="P363" s="40" t="s">
        <v>462</v>
      </c>
      <c r="Q363" s="40" t="s">
        <v>452</v>
      </c>
      <c r="R363" s="14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ht="15.75" customHeight="1">
      <c r="A364" s="24"/>
      <c r="B364" s="34">
        <v>28.0</v>
      </c>
      <c r="C364" s="167">
        <v>46094.0</v>
      </c>
      <c r="D364" s="143"/>
      <c r="E364" s="143"/>
      <c r="F364" s="143"/>
      <c r="G364" s="143"/>
      <c r="H364" s="36" t="s">
        <v>671</v>
      </c>
      <c r="I364" s="36" t="s">
        <v>672</v>
      </c>
      <c r="J364" s="36" t="s">
        <v>673</v>
      </c>
      <c r="K364" s="36"/>
      <c r="L364" s="56" t="s">
        <v>84</v>
      </c>
      <c r="M364" s="143"/>
      <c r="N364" s="143"/>
      <c r="O364" s="36">
        <v>30.0</v>
      </c>
      <c r="P364" s="40" t="s">
        <v>518</v>
      </c>
      <c r="Q364" s="40" t="s">
        <v>452</v>
      </c>
      <c r="R364" s="14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ht="15.75" customHeight="1">
      <c r="A365" s="24"/>
      <c r="B365" s="34">
        <v>29.0</v>
      </c>
      <c r="C365" s="167">
        <v>46094.0</v>
      </c>
      <c r="D365" s="143"/>
      <c r="E365" s="143"/>
      <c r="F365" s="143"/>
      <c r="G365" s="143"/>
      <c r="H365" s="36" t="s">
        <v>674</v>
      </c>
      <c r="I365" s="36" t="s">
        <v>675</v>
      </c>
      <c r="J365" s="36" t="s">
        <v>676</v>
      </c>
      <c r="K365" s="36"/>
      <c r="L365" s="56" t="s">
        <v>49</v>
      </c>
      <c r="M365" s="143"/>
      <c r="N365" s="143"/>
      <c r="O365" s="36">
        <v>45.0</v>
      </c>
      <c r="P365" s="40" t="s">
        <v>518</v>
      </c>
      <c r="Q365" s="40" t="s">
        <v>586</v>
      </c>
      <c r="R365" s="14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ht="15.75" customHeight="1">
      <c r="A366" s="24"/>
      <c r="B366" s="34">
        <v>30.0</v>
      </c>
      <c r="C366" s="167">
        <v>46094.0</v>
      </c>
      <c r="D366" s="143"/>
      <c r="E366" s="143"/>
      <c r="F366" s="143"/>
      <c r="G366" s="143"/>
      <c r="H366" s="36" t="s">
        <v>677</v>
      </c>
      <c r="I366" s="36" t="s">
        <v>678</v>
      </c>
      <c r="J366" s="36" t="s">
        <v>679</v>
      </c>
      <c r="K366" s="36"/>
      <c r="L366" s="56" t="s">
        <v>49</v>
      </c>
      <c r="M366" s="143"/>
      <c r="N366" s="143"/>
      <c r="O366" s="36">
        <v>150.0</v>
      </c>
      <c r="P366" s="40" t="s">
        <v>451</v>
      </c>
      <c r="Q366" s="40" t="s">
        <v>452</v>
      </c>
      <c r="R366" s="14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ht="15.75" customHeight="1">
      <c r="A367" s="24"/>
      <c r="B367" s="34">
        <v>31.0</v>
      </c>
      <c r="C367" s="184">
        <v>46095.0</v>
      </c>
      <c r="D367" s="143"/>
      <c r="E367" s="143"/>
      <c r="F367" s="143"/>
      <c r="G367" s="143"/>
      <c r="H367" s="36" t="s">
        <v>680</v>
      </c>
      <c r="I367" s="36" t="s">
        <v>629</v>
      </c>
      <c r="J367" s="36" t="s">
        <v>681</v>
      </c>
      <c r="K367" s="36"/>
      <c r="L367" s="56" t="s">
        <v>84</v>
      </c>
      <c r="M367" s="143"/>
      <c r="N367" s="143"/>
      <c r="O367" s="36">
        <v>200.0</v>
      </c>
      <c r="P367" s="40" t="s">
        <v>462</v>
      </c>
      <c r="Q367" s="40" t="s">
        <v>631</v>
      </c>
      <c r="R367" s="14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ht="15.75" customHeight="1">
      <c r="A368" s="24"/>
      <c r="B368" s="34">
        <v>32.0</v>
      </c>
      <c r="C368" s="184">
        <v>46095.0</v>
      </c>
      <c r="D368" s="143"/>
      <c r="E368" s="143"/>
      <c r="F368" s="143"/>
      <c r="G368" s="143"/>
      <c r="H368" s="36" t="s">
        <v>682</v>
      </c>
      <c r="I368" s="36" t="s">
        <v>683</v>
      </c>
      <c r="J368" s="36" t="s">
        <v>684</v>
      </c>
      <c r="K368" s="36"/>
      <c r="L368" s="56" t="s">
        <v>49</v>
      </c>
      <c r="M368" s="143"/>
      <c r="N368" s="143"/>
      <c r="O368" s="36">
        <v>426.0</v>
      </c>
      <c r="P368" s="40" t="s">
        <v>451</v>
      </c>
      <c r="Q368" s="40" t="s">
        <v>452</v>
      </c>
      <c r="R368" s="14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ht="15.75" customHeight="1">
      <c r="A369" s="24"/>
      <c r="B369" s="34">
        <v>33.0</v>
      </c>
      <c r="C369" s="184">
        <v>46097.0</v>
      </c>
      <c r="D369" s="143"/>
      <c r="E369" s="143"/>
      <c r="F369" s="143"/>
      <c r="G369" s="143"/>
      <c r="H369" s="36" t="s">
        <v>685</v>
      </c>
      <c r="I369" s="36" t="s">
        <v>686</v>
      </c>
      <c r="J369" s="36" t="s">
        <v>687</v>
      </c>
      <c r="K369" s="36"/>
      <c r="L369" s="56" t="s">
        <v>49</v>
      </c>
      <c r="M369" s="143"/>
      <c r="N369" s="143"/>
      <c r="O369" s="36">
        <v>97.0</v>
      </c>
      <c r="P369" s="40" t="s">
        <v>518</v>
      </c>
      <c r="Q369" s="40" t="s">
        <v>452</v>
      </c>
      <c r="R369" s="14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ht="15.75" customHeight="1">
      <c r="A370" s="24"/>
      <c r="B370" s="34">
        <v>34.0</v>
      </c>
      <c r="C370" s="184">
        <v>46097.0</v>
      </c>
      <c r="D370" s="143"/>
      <c r="E370" s="143"/>
      <c r="F370" s="143"/>
      <c r="G370" s="143"/>
      <c r="H370" s="36" t="s">
        <v>688</v>
      </c>
      <c r="I370" s="36" t="s">
        <v>689</v>
      </c>
      <c r="J370" s="36" t="s">
        <v>415</v>
      </c>
      <c r="K370" s="36"/>
      <c r="L370" s="56" t="s">
        <v>49</v>
      </c>
      <c r="M370" s="143"/>
      <c r="N370" s="143"/>
      <c r="O370" s="36">
        <v>294.0</v>
      </c>
      <c r="P370" s="40" t="s">
        <v>518</v>
      </c>
      <c r="Q370" s="40" t="s">
        <v>452</v>
      </c>
      <c r="R370" s="14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ht="15.75" customHeight="1">
      <c r="A371" s="130"/>
      <c r="B371" s="131">
        <v>35.0</v>
      </c>
      <c r="C371" s="185">
        <v>46097.0</v>
      </c>
      <c r="D371" s="175"/>
      <c r="E371" s="175"/>
      <c r="F371" s="175"/>
      <c r="G371" s="175"/>
      <c r="H371" s="111" t="s">
        <v>690</v>
      </c>
      <c r="I371" s="133" t="s">
        <v>629</v>
      </c>
      <c r="J371" s="133" t="s">
        <v>691</v>
      </c>
      <c r="K371" s="133"/>
      <c r="L371" s="134" t="s">
        <v>84</v>
      </c>
      <c r="M371" s="175"/>
      <c r="N371" s="175"/>
      <c r="O371" s="133">
        <v>399.0</v>
      </c>
      <c r="P371" s="136" t="s">
        <v>462</v>
      </c>
      <c r="Q371" s="136" t="s">
        <v>452</v>
      </c>
      <c r="R371" s="175"/>
      <c r="S371" s="176"/>
      <c r="T371" s="176"/>
      <c r="U371" s="177">
        <v>399.0</v>
      </c>
      <c r="V371" s="178">
        <f>U371/1.18</f>
        <v>338.1355932</v>
      </c>
      <c r="W371" s="176"/>
      <c r="X371" s="176"/>
      <c r="Y371" s="176"/>
      <c r="Z371" s="176"/>
      <c r="AA371" s="176"/>
      <c r="AB371" s="176"/>
      <c r="AC371" s="176"/>
      <c r="AD371" s="176"/>
      <c r="AE371" s="176"/>
      <c r="AF371" s="176"/>
      <c r="AG371" s="176"/>
    </row>
    <row r="372" ht="15.75" customHeight="1">
      <c r="A372" s="24"/>
      <c r="B372" s="34">
        <v>36.0</v>
      </c>
      <c r="C372" s="184">
        <v>46097.0</v>
      </c>
      <c r="D372" s="143"/>
      <c r="E372" s="143"/>
      <c r="F372" s="143"/>
      <c r="G372" s="143"/>
      <c r="H372" s="171" t="s">
        <v>692</v>
      </c>
      <c r="I372" s="160" t="s">
        <v>693</v>
      </c>
      <c r="J372" s="36" t="s">
        <v>415</v>
      </c>
      <c r="K372" s="36"/>
      <c r="L372" s="56" t="s">
        <v>49</v>
      </c>
      <c r="M372" s="143"/>
      <c r="N372" s="143"/>
      <c r="O372" s="36">
        <v>297.0</v>
      </c>
      <c r="P372" s="40" t="s">
        <v>451</v>
      </c>
      <c r="Q372" s="40" t="s">
        <v>452</v>
      </c>
      <c r="R372" s="14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ht="15.75" customHeight="1">
      <c r="A373" s="24"/>
      <c r="B373" s="34">
        <v>37.0</v>
      </c>
      <c r="C373" s="184">
        <v>46098.0</v>
      </c>
      <c r="D373" s="143"/>
      <c r="E373" s="143"/>
      <c r="F373" s="143"/>
      <c r="G373" s="143"/>
      <c r="H373" s="186" t="s">
        <v>694</v>
      </c>
      <c r="I373" s="187" t="s">
        <v>629</v>
      </c>
      <c r="J373" s="36" t="s">
        <v>695</v>
      </c>
      <c r="K373" s="36"/>
      <c r="L373" s="56" t="s">
        <v>84</v>
      </c>
      <c r="M373" s="143"/>
      <c r="N373" s="143"/>
      <c r="O373" s="36">
        <v>48.0</v>
      </c>
      <c r="P373" s="40" t="s">
        <v>462</v>
      </c>
      <c r="Q373" s="40" t="s">
        <v>452</v>
      </c>
      <c r="R373" s="14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ht="15.75" customHeight="1">
      <c r="A374" s="24"/>
      <c r="B374" s="34">
        <v>38.0</v>
      </c>
      <c r="C374" s="184">
        <v>46098.0</v>
      </c>
      <c r="D374" s="143"/>
      <c r="E374" s="143"/>
      <c r="F374" s="143"/>
      <c r="G374" s="143"/>
      <c r="H374" s="171" t="s">
        <v>668</v>
      </c>
      <c r="I374" s="160" t="s">
        <v>669</v>
      </c>
      <c r="J374" s="36" t="s">
        <v>696</v>
      </c>
      <c r="K374" s="36"/>
      <c r="L374" s="56" t="s">
        <v>84</v>
      </c>
      <c r="M374" s="143"/>
      <c r="N374" s="143"/>
      <c r="O374" s="36">
        <v>160.0</v>
      </c>
      <c r="P374" s="40" t="s">
        <v>462</v>
      </c>
      <c r="Q374" s="40" t="s">
        <v>253</v>
      </c>
      <c r="R374" s="14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ht="15.75" customHeight="1">
      <c r="A375" s="24"/>
      <c r="B375" s="34">
        <v>39.0</v>
      </c>
      <c r="C375" s="184">
        <v>46098.0</v>
      </c>
      <c r="D375" s="143"/>
      <c r="E375" s="143"/>
      <c r="F375" s="143"/>
      <c r="G375" s="143"/>
      <c r="H375" s="36" t="s">
        <v>697</v>
      </c>
      <c r="I375" s="36" t="s">
        <v>698</v>
      </c>
      <c r="J375" s="36" t="s">
        <v>415</v>
      </c>
      <c r="K375" s="36"/>
      <c r="L375" s="56" t="s">
        <v>49</v>
      </c>
      <c r="M375" s="143"/>
      <c r="N375" s="143"/>
      <c r="O375" s="36">
        <v>294.0</v>
      </c>
      <c r="P375" s="40" t="s">
        <v>518</v>
      </c>
      <c r="Q375" s="40" t="s">
        <v>452</v>
      </c>
      <c r="R375" s="14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ht="15.75" customHeight="1">
      <c r="A376" s="87"/>
      <c r="B376" s="88">
        <v>40.0</v>
      </c>
      <c r="C376" s="188">
        <v>46098.0</v>
      </c>
      <c r="D376" s="189"/>
      <c r="E376" s="189"/>
      <c r="F376" s="189"/>
      <c r="G376" s="189"/>
      <c r="H376" s="91" t="s">
        <v>699</v>
      </c>
      <c r="I376" s="91" t="s">
        <v>700</v>
      </c>
      <c r="J376" s="91" t="s">
        <v>415</v>
      </c>
      <c r="K376" s="91"/>
      <c r="L376" s="92" t="s">
        <v>49</v>
      </c>
      <c r="M376" s="189"/>
      <c r="N376" s="189"/>
      <c r="O376" s="91">
        <v>294.0</v>
      </c>
      <c r="P376" s="93" t="s">
        <v>518</v>
      </c>
      <c r="Q376" s="93" t="s">
        <v>586</v>
      </c>
      <c r="R376" s="189"/>
      <c r="S376" s="80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</row>
    <row r="377" ht="15.75" customHeight="1">
      <c r="A377" s="24"/>
      <c r="B377" s="34">
        <v>41.0</v>
      </c>
      <c r="C377" s="184">
        <v>46098.0</v>
      </c>
      <c r="D377" s="143"/>
      <c r="E377" s="143"/>
      <c r="F377" s="143"/>
      <c r="G377" s="143"/>
      <c r="H377" s="36" t="s">
        <v>701</v>
      </c>
      <c r="I377" s="36" t="s">
        <v>629</v>
      </c>
      <c r="J377" s="36" t="s">
        <v>702</v>
      </c>
      <c r="K377" s="36"/>
      <c r="L377" s="56" t="s">
        <v>84</v>
      </c>
      <c r="M377" s="143"/>
      <c r="N377" s="143"/>
      <c r="O377" s="36">
        <v>13.5</v>
      </c>
      <c r="P377" s="40" t="s">
        <v>462</v>
      </c>
      <c r="Q377" s="40" t="s">
        <v>452</v>
      </c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ht="15.75" customHeight="1">
      <c r="A378" s="24"/>
      <c r="B378" s="34">
        <v>42.0</v>
      </c>
      <c r="C378" s="184">
        <v>46098.0</v>
      </c>
      <c r="D378" s="143"/>
      <c r="E378" s="143"/>
      <c r="F378" s="143"/>
      <c r="G378" s="143"/>
      <c r="H378" s="36" t="s">
        <v>703</v>
      </c>
      <c r="I378" s="36" t="s">
        <v>629</v>
      </c>
      <c r="J378" s="36" t="s">
        <v>704</v>
      </c>
      <c r="K378" s="36"/>
      <c r="L378" s="56" t="s">
        <v>84</v>
      </c>
      <c r="M378" s="143"/>
      <c r="N378" s="143"/>
      <c r="O378" s="36">
        <v>150.0</v>
      </c>
      <c r="P378" s="40" t="s">
        <v>462</v>
      </c>
      <c r="Q378" s="40" t="s">
        <v>631</v>
      </c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ht="15.75" customHeight="1">
      <c r="A379" s="24"/>
      <c r="B379" s="34">
        <v>43.0</v>
      </c>
      <c r="C379" s="184">
        <v>46099.0</v>
      </c>
      <c r="D379" s="143"/>
      <c r="E379" s="143"/>
      <c r="F379" s="143"/>
      <c r="G379" s="143"/>
      <c r="H379" s="36" t="s">
        <v>705</v>
      </c>
      <c r="I379" s="36" t="s">
        <v>629</v>
      </c>
      <c r="J379" s="36" t="s">
        <v>706</v>
      </c>
      <c r="K379" s="36"/>
      <c r="L379" s="56" t="s">
        <v>84</v>
      </c>
      <c r="M379" s="143"/>
      <c r="N379" s="143"/>
      <c r="O379" s="36">
        <v>7.0</v>
      </c>
      <c r="P379" s="40" t="s">
        <v>462</v>
      </c>
      <c r="Q379" s="40" t="s">
        <v>452</v>
      </c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ht="15.75" customHeight="1">
      <c r="A380" s="24"/>
      <c r="B380" s="34">
        <v>44.0</v>
      </c>
      <c r="C380" s="184">
        <v>46100.0</v>
      </c>
      <c r="D380" s="143"/>
      <c r="E380" s="143"/>
      <c r="F380" s="143"/>
      <c r="G380" s="143"/>
      <c r="H380" s="171" t="s">
        <v>707</v>
      </c>
      <c r="I380" s="160" t="s">
        <v>708</v>
      </c>
      <c r="J380" s="36" t="s">
        <v>415</v>
      </c>
      <c r="K380" s="36"/>
      <c r="L380" s="56" t="s">
        <v>49</v>
      </c>
      <c r="M380" s="143"/>
      <c r="N380" s="143"/>
      <c r="O380" s="36">
        <v>297.0</v>
      </c>
      <c r="P380" s="40" t="s">
        <v>451</v>
      </c>
      <c r="Q380" s="40" t="s">
        <v>253</v>
      </c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ht="15.75" customHeight="1">
      <c r="A381" s="130"/>
      <c r="B381" s="131">
        <v>45.0</v>
      </c>
      <c r="C381" s="185">
        <v>46101.0</v>
      </c>
      <c r="D381" s="175"/>
      <c r="E381" s="175"/>
      <c r="F381" s="175"/>
      <c r="G381" s="175"/>
      <c r="H381" s="190" t="s">
        <v>236</v>
      </c>
      <c r="I381" s="191" t="s">
        <v>709</v>
      </c>
      <c r="J381" s="133" t="s">
        <v>710</v>
      </c>
      <c r="K381" s="133"/>
      <c r="L381" s="134" t="s">
        <v>49</v>
      </c>
      <c r="M381" s="175"/>
      <c r="N381" s="175"/>
      <c r="O381" s="133">
        <v>50.0</v>
      </c>
      <c r="P381" s="136" t="s">
        <v>451</v>
      </c>
      <c r="Q381" s="136" t="s">
        <v>452</v>
      </c>
      <c r="R381" s="176"/>
      <c r="S381" s="176"/>
      <c r="T381" s="176"/>
      <c r="U381" s="177">
        <f>50+50</f>
        <v>100</v>
      </c>
      <c r="V381" s="178">
        <f>50/1.18</f>
        <v>42.37288136</v>
      </c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6"/>
    </row>
    <row r="382" ht="15.75" customHeight="1">
      <c r="A382" s="130"/>
      <c r="B382" s="131">
        <v>46.0</v>
      </c>
      <c r="C382" s="185">
        <v>46101.0</v>
      </c>
      <c r="D382" s="175"/>
      <c r="E382" s="175"/>
      <c r="F382" s="175"/>
      <c r="G382" s="175"/>
      <c r="H382" s="133" t="s">
        <v>711</v>
      </c>
      <c r="I382" s="191" t="s">
        <v>712</v>
      </c>
      <c r="J382" s="133" t="s">
        <v>710</v>
      </c>
      <c r="K382" s="133"/>
      <c r="L382" s="134" t="s">
        <v>49</v>
      </c>
      <c r="M382" s="175"/>
      <c r="N382" s="175"/>
      <c r="O382" s="133">
        <v>45.0</v>
      </c>
      <c r="P382" s="136" t="s">
        <v>451</v>
      </c>
      <c r="Q382" s="136" t="s">
        <v>586</v>
      </c>
      <c r="R382" s="176"/>
      <c r="S382" s="176"/>
      <c r="T382" s="176"/>
      <c r="U382" s="177">
        <f>45+45</f>
        <v>90</v>
      </c>
      <c r="V382" s="178">
        <f>45/1.18</f>
        <v>38.13559322</v>
      </c>
      <c r="W382" s="176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6"/>
    </row>
    <row r="383" ht="15.75" customHeight="1">
      <c r="A383" s="24"/>
      <c r="B383" s="34">
        <v>47.0</v>
      </c>
      <c r="C383" s="184">
        <v>46101.0</v>
      </c>
      <c r="D383" s="143"/>
      <c r="E383" s="143"/>
      <c r="F383" s="143"/>
      <c r="G383" s="143"/>
      <c r="H383" s="36" t="s">
        <v>713</v>
      </c>
      <c r="I383" s="160" t="s">
        <v>714</v>
      </c>
      <c r="J383" s="36" t="s">
        <v>415</v>
      </c>
      <c r="K383" s="36"/>
      <c r="L383" s="56" t="s">
        <v>49</v>
      </c>
      <c r="M383" s="143"/>
      <c r="N383" s="143"/>
      <c r="O383" s="36">
        <v>297.0</v>
      </c>
      <c r="P383" s="40" t="s">
        <v>451</v>
      </c>
      <c r="Q383" s="40" t="s">
        <v>253</v>
      </c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ht="18.0" customHeight="1">
      <c r="A384" s="24"/>
      <c r="B384" s="34">
        <v>48.0</v>
      </c>
      <c r="C384" s="184">
        <v>46102.0</v>
      </c>
      <c r="D384" s="143"/>
      <c r="E384" s="143"/>
      <c r="F384" s="143"/>
      <c r="G384" s="143"/>
      <c r="H384" s="36" t="s">
        <v>715</v>
      </c>
      <c r="I384" s="192" t="s">
        <v>403</v>
      </c>
      <c r="J384" s="36" t="s">
        <v>415</v>
      </c>
      <c r="K384" s="36"/>
      <c r="L384" s="56" t="s">
        <v>49</v>
      </c>
      <c r="M384" s="143"/>
      <c r="N384" s="143"/>
      <c r="O384" s="36">
        <v>297.0</v>
      </c>
      <c r="P384" s="40" t="s">
        <v>451</v>
      </c>
      <c r="Q384" s="40" t="s">
        <v>452</v>
      </c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ht="15.75" customHeight="1">
      <c r="A385" s="87"/>
      <c r="B385" s="88">
        <v>49.0</v>
      </c>
      <c r="C385" s="188">
        <v>46102.0</v>
      </c>
      <c r="D385" s="91">
        <v>3.0</v>
      </c>
      <c r="E385" s="193" t="s">
        <v>67</v>
      </c>
      <c r="F385" s="194">
        <v>44.0</v>
      </c>
      <c r="G385" s="189"/>
      <c r="H385" s="108" t="s">
        <v>265</v>
      </c>
      <c r="I385" s="91" t="s">
        <v>629</v>
      </c>
      <c r="J385" s="91" t="s">
        <v>716</v>
      </c>
      <c r="K385" s="91"/>
      <c r="L385" s="92" t="s">
        <v>84</v>
      </c>
      <c r="M385" s="189"/>
      <c r="N385" s="189"/>
      <c r="O385" s="91">
        <v>769.0</v>
      </c>
      <c r="P385" s="93" t="s">
        <v>462</v>
      </c>
      <c r="Q385" s="93" t="s">
        <v>573</v>
      </c>
      <c r="R385" s="95"/>
      <c r="S385" s="195">
        <v>522.0</v>
      </c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</row>
    <row r="386" ht="15.75" customHeight="1">
      <c r="A386" s="24"/>
      <c r="B386" s="34">
        <v>50.0</v>
      </c>
      <c r="C386" s="184">
        <v>46102.0</v>
      </c>
      <c r="D386" s="143"/>
      <c r="E386" s="143"/>
      <c r="F386" s="143"/>
      <c r="G386" s="143"/>
      <c r="H386" s="196" t="s">
        <v>265</v>
      </c>
      <c r="I386" s="36" t="s">
        <v>629</v>
      </c>
      <c r="J386" s="36" t="s">
        <v>717</v>
      </c>
      <c r="K386" s="36"/>
      <c r="L386" s="56" t="s">
        <v>84</v>
      </c>
      <c r="M386" s="143"/>
      <c r="N386" s="143"/>
      <c r="O386" s="36">
        <v>40.0</v>
      </c>
      <c r="P386" s="40" t="s">
        <v>462</v>
      </c>
      <c r="Q386" s="40" t="s">
        <v>452</v>
      </c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ht="15.75" customHeight="1">
      <c r="A387" s="24"/>
      <c r="B387" s="34">
        <v>51.0</v>
      </c>
      <c r="C387" s="184">
        <v>46102.0</v>
      </c>
      <c r="D387" s="143"/>
      <c r="E387" s="143"/>
      <c r="F387" s="143"/>
      <c r="G387" s="143"/>
      <c r="H387" s="36" t="s">
        <v>718</v>
      </c>
      <c r="I387" s="36" t="s">
        <v>629</v>
      </c>
      <c r="J387" s="36" t="s">
        <v>719</v>
      </c>
      <c r="K387" s="36"/>
      <c r="L387" s="56" t="s">
        <v>84</v>
      </c>
      <c r="M387" s="143"/>
      <c r="N387" s="143"/>
      <c r="O387" s="36">
        <v>120.0</v>
      </c>
      <c r="P387" s="40" t="s">
        <v>462</v>
      </c>
      <c r="Q387" s="40" t="s">
        <v>452</v>
      </c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ht="15.75" customHeight="1">
      <c r="A388" s="24"/>
      <c r="B388" s="34">
        <v>52.0</v>
      </c>
      <c r="C388" s="184">
        <v>46102.0</v>
      </c>
      <c r="D388" s="143"/>
      <c r="E388" s="143"/>
      <c r="F388" s="143"/>
      <c r="G388" s="143"/>
      <c r="H388" s="36" t="s">
        <v>591</v>
      </c>
      <c r="I388" s="36" t="s">
        <v>629</v>
      </c>
      <c r="J388" s="36" t="s">
        <v>720</v>
      </c>
      <c r="K388" s="36"/>
      <c r="L388" s="56" t="s">
        <v>84</v>
      </c>
      <c r="M388" s="143"/>
      <c r="N388" s="143"/>
      <c r="O388" s="36">
        <v>40.0</v>
      </c>
      <c r="P388" s="40" t="s">
        <v>462</v>
      </c>
      <c r="Q388" s="40" t="s">
        <v>452</v>
      </c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ht="15.75" customHeight="1">
      <c r="A389" s="24"/>
      <c r="B389" s="34">
        <v>53.0</v>
      </c>
      <c r="C389" s="184">
        <v>46102.0</v>
      </c>
      <c r="D389" s="143"/>
      <c r="E389" s="143"/>
      <c r="F389" s="143"/>
      <c r="G389" s="143"/>
      <c r="H389" s="36" t="s">
        <v>721</v>
      </c>
      <c r="I389" s="36" t="s">
        <v>629</v>
      </c>
      <c r="J389" s="36" t="s">
        <v>722</v>
      </c>
      <c r="K389" s="36"/>
      <c r="L389" s="56" t="s">
        <v>84</v>
      </c>
      <c r="M389" s="143"/>
      <c r="N389" s="143"/>
      <c r="O389" s="36">
        <v>15.0</v>
      </c>
      <c r="P389" s="40" t="s">
        <v>462</v>
      </c>
      <c r="Q389" s="40" t="s">
        <v>631</v>
      </c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ht="15.75" customHeight="1">
      <c r="A390" s="197"/>
      <c r="B390" s="198">
        <v>54.0</v>
      </c>
      <c r="C390" s="199">
        <v>46104.0</v>
      </c>
      <c r="D390" s="200"/>
      <c r="E390" s="200"/>
      <c r="F390" s="200"/>
      <c r="G390" s="200"/>
      <c r="H390" s="201" t="s">
        <v>723</v>
      </c>
      <c r="I390" s="202" t="s">
        <v>724</v>
      </c>
      <c r="J390" s="201" t="s">
        <v>415</v>
      </c>
      <c r="K390" s="201"/>
      <c r="L390" s="203" t="s">
        <v>49</v>
      </c>
      <c r="M390" s="200"/>
      <c r="N390" s="200"/>
      <c r="O390" s="201">
        <v>297.0</v>
      </c>
      <c r="P390" s="204" t="s">
        <v>451</v>
      </c>
      <c r="Q390" s="204" t="s">
        <v>452</v>
      </c>
      <c r="R390" s="205"/>
      <c r="S390" s="205"/>
      <c r="T390" s="205"/>
      <c r="U390" s="206">
        <v>297.0</v>
      </c>
      <c r="V390" s="207">
        <f>U390/1.18</f>
        <v>251.6949153</v>
      </c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</row>
    <row r="391" ht="15.75" customHeight="1">
      <c r="A391" s="24"/>
      <c r="B391" s="34">
        <v>55.0</v>
      </c>
      <c r="C391" s="184">
        <v>46104.0</v>
      </c>
      <c r="D391" s="143"/>
      <c r="E391" s="143"/>
      <c r="F391" s="143"/>
      <c r="G391" s="143"/>
      <c r="H391" s="173" t="s">
        <v>307</v>
      </c>
      <c r="I391" s="36" t="s">
        <v>629</v>
      </c>
      <c r="J391" s="173" t="s">
        <v>725</v>
      </c>
      <c r="K391" s="173"/>
      <c r="L391" s="56" t="s">
        <v>84</v>
      </c>
      <c r="M391" s="143"/>
      <c r="N391" s="143"/>
      <c r="O391" s="36">
        <v>30.0</v>
      </c>
      <c r="P391" s="40" t="s">
        <v>462</v>
      </c>
      <c r="Q391" s="40" t="s">
        <v>631</v>
      </c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ht="15.75" customHeight="1">
      <c r="A392" s="24"/>
      <c r="B392" s="34">
        <v>56.0</v>
      </c>
      <c r="C392" s="184">
        <v>46104.0</v>
      </c>
      <c r="D392" s="143"/>
      <c r="E392" s="143"/>
      <c r="F392" s="143"/>
      <c r="G392" s="143"/>
      <c r="H392" s="173" t="s">
        <v>307</v>
      </c>
      <c r="I392" s="36" t="s">
        <v>629</v>
      </c>
      <c r="J392" s="36" t="s">
        <v>726</v>
      </c>
      <c r="K392" s="36"/>
      <c r="L392" s="56" t="s">
        <v>84</v>
      </c>
      <c r="M392" s="143"/>
      <c r="N392" s="143"/>
      <c r="O392" s="36">
        <v>35.0</v>
      </c>
      <c r="P392" s="40" t="s">
        <v>462</v>
      </c>
      <c r="Q392" s="40" t="s">
        <v>631</v>
      </c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ht="15.75" customHeight="1">
      <c r="A393" s="24"/>
      <c r="B393" s="34">
        <v>57.0</v>
      </c>
      <c r="C393" s="184">
        <v>46104.0</v>
      </c>
      <c r="D393" s="143"/>
      <c r="E393" s="143"/>
      <c r="F393" s="143"/>
      <c r="G393" s="143"/>
      <c r="H393" s="36" t="s">
        <v>727</v>
      </c>
      <c r="I393" s="36" t="s">
        <v>728</v>
      </c>
      <c r="J393" s="36" t="s">
        <v>415</v>
      </c>
      <c r="K393" s="36"/>
      <c r="L393" s="56" t="s">
        <v>49</v>
      </c>
      <c r="M393" s="143"/>
      <c r="N393" s="143"/>
      <c r="O393" s="36">
        <v>394.0</v>
      </c>
      <c r="P393" s="40" t="s">
        <v>518</v>
      </c>
      <c r="Q393" s="40" t="s">
        <v>586</v>
      </c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ht="15.75" customHeight="1">
      <c r="A394" s="24"/>
      <c r="B394" s="34">
        <v>58.0</v>
      </c>
      <c r="C394" s="184">
        <v>46104.0</v>
      </c>
      <c r="D394" s="143"/>
      <c r="E394" s="143"/>
      <c r="F394" s="143"/>
      <c r="G394" s="143"/>
      <c r="H394" s="36" t="s">
        <v>729</v>
      </c>
      <c r="I394" s="36" t="s">
        <v>629</v>
      </c>
      <c r="J394" s="36" t="s">
        <v>730</v>
      </c>
      <c r="K394" s="36"/>
      <c r="L394" s="56" t="s">
        <v>84</v>
      </c>
      <c r="M394" s="143"/>
      <c r="N394" s="143"/>
      <c r="O394" s="36">
        <v>60.0</v>
      </c>
      <c r="P394" s="40" t="s">
        <v>518</v>
      </c>
      <c r="Q394" s="40" t="s">
        <v>631</v>
      </c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ht="15.75" customHeight="1">
      <c r="A395" s="24"/>
      <c r="B395" s="34">
        <v>59.0</v>
      </c>
      <c r="C395" s="184">
        <v>46104.0</v>
      </c>
      <c r="D395" s="143"/>
      <c r="E395" s="143"/>
      <c r="F395" s="143"/>
      <c r="G395" s="143"/>
      <c r="H395" s="36" t="s">
        <v>731</v>
      </c>
      <c r="I395" s="36" t="s">
        <v>629</v>
      </c>
      <c r="J395" s="36" t="s">
        <v>730</v>
      </c>
      <c r="K395" s="36"/>
      <c r="L395" s="56" t="s">
        <v>84</v>
      </c>
      <c r="M395" s="143"/>
      <c r="N395" s="143"/>
      <c r="O395" s="36">
        <v>55.0</v>
      </c>
      <c r="P395" s="40" t="s">
        <v>518</v>
      </c>
      <c r="Q395" s="40" t="s">
        <v>631</v>
      </c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ht="15.75" customHeight="1">
      <c r="A396" s="24"/>
      <c r="B396" s="34">
        <v>60.0</v>
      </c>
      <c r="C396" s="184">
        <v>46104.0</v>
      </c>
      <c r="D396" s="143"/>
      <c r="E396" s="143"/>
      <c r="F396" s="143"/>
      <c r="G396" s="143"/>
      <c r="H396" s="36" t="s">
        <v>727</v>
      </c>
      <c r="I396" s="36" t="s">
        <v>728</v>
      </c>
      <c r="J396" s="36" t="s">
        <v>732</v>
      </c>
      <c r="K396" s="36"/>
      <c r="L396" s="56" t="s">
        <v>84</v>
      </c>
      <c r="M396" s="143"/>
      <c r="N396" s="143"/>
      <c r="O396" s="36">
        <v>150.0</v>
      </c>
      <c r="P396" s="40" t="s">
        <v>518</v>
      </c>
      <c r="Q396" s="40" t="s">
        <v>452</v>
      </c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ht="15.75" customHeight="1">
      <c r="A397" s="24"/>
      <c r="B397" s="34">
        <v>61.0</v>
      </c>
      <c r="C397" s="184">
        <v>46104.0</v>
      </c>
      <c r="D397" s="143"/>
      <c r="E397" s="143"/>
      <c r="F397" s="143"/>
      <c r="G397" s="143"/>
      <c r="H397" s="36" t="s">
        <v>733</v>
      </c>
      <c r="I397" s="36" t="s">
        <v>734</v>
      </c>
      <c r="J397" s="36" t="s">
        <v>735</v>
      </c>
      <c r="K397" s="36"/>
      <c r="L397" s="56" t="s">
        <v>84</v>
      </c>
      <c r="M397" s="143"/>
      <c r="N397" s="143"/>
      <c r="O397" s="36">
        <v>200.0</v>
      </c>
      <c r="P397" s="40" t="s">
        <v>518</v>
      </c>
      <c r="Q397" s="40" t="s">
        <v>452</v>
      </c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ht="15.75" customHeight="1">
      <c r="A398" s="87"/>
      <c r="B398" s="88">
        <v>62.0</v>
      </c>
      <c r="C398" s="188">
        <v>46104.0</v>
      </c>
      <c r="D398" s="91">
        <v>3.0</v>
      </c>
      <c r="E398" s="193" t="s">
        <v>67</v>
      </c>
      <c r="F398" s="194">
        <v>43.0</v>
      </c>
      <c r="G398" s="189"/>
      <c r="H398" s="91" t="s">
        <v>736</v>
      </c>
      <c r="I398" s="91" t="s">
        <v>182</v>
      </c>
      <c r="J398" s="91" t="s">
        <v>415</v>
      </c>
      <c r="K398" s="91"/>
      <c r="L398" s="92" t="s">
        <v>49</v>
      </c>
      <c r="M398" s="189"/>
      <c r="N398" s="189"/>
      <c r="O398" s="91">
        <v>297.0</v>
      </c>
      <c r="P398" s="93" t="s">
        <v>518</v>
      </c>
      <c r="Q398" s="93" t="s">
        <v>253</v>
      </c>
      <c r="R398" s="95"/>
      <c r="S398" s="195">
        <v>294.0</v>
      </c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</row>
    <row r="399" ht="17.25" customHeight="1">
      <c r="A399" s="24"/>
      <c r="B399" s="34">
        <v>63.0</v>
      </c>
      <c r="C399" s="184">
        <v>46104.0</v>
      </c>
      <c r="D399" s="143"/>
      <c r="E399" s="143"/>
      <c r="F399" s="143"/>
      <c r="G399" s="143"/>
      <c r="H399" s="36" t="s">
        <v>737</v>
      </c>
      <c r="I399" s="160" t="s">
        <v>738</v>
      </c>
      <c r="J399" s="36" t="s">
        <v>415</v>
      </c>
      <c r="K399" s="36"/>
      <c r="L399" s="56" t="s">
        <v>49</v>
      </c>
      <c r="M399" s="143"/>
      <c r="N399" s="143"/>
      <c r="O399" s="36">
        <v>297.0</v>
      </c>
      <c r="P399" s="40" t="s">
        <v>451</v>
      </c>
      <c r="Q399" s="40" t="s">
        <v>452</v>
      </c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ht="15.75" customHeight="1">
      <c r="A400" s="24"/>
      <c r="B400" s="34">
        <v>64.0</v>
      </c>
      <c r="C400" s="184">
        <v>46104.0</v>
      </c>
      <c r="D400" s="143"/>
      <c r="E400" s="143"/>
      <c r="F400" s="143"/>
      <c r="G400" s="143"/>
      <c r="H400" s="36" t="s">
        <v>739</v>
      </c>
      <c r="I400" s="36" t="s">
        <v>739</v>
      </c>
      <c r="J400" s="36" t="s">
        <v>740</v>
      </c>
      <c r="K400" s="36"/>
      <c r="L400" s="56" t="s">
        <v>49</v>
      </c>
      <c r="M400" s="143"/>
      <c r="N400" s="143"/>
      <c r="O400" s="36">
        <v>97.0</v>
      </c>
      <c r="P400" s="40" t="s">
        <v>462</v>
      </c>
      <c r="Q400" s="40" t="s">
        <v>631</v>
      </c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ht="15.75" customHeight="1">
      <c r="A401" s="24"/>
      <c r="B401" s="34">
        <v>65.0</v>
      </c>
      <c r="C401" s="184">
        <v>46105.0</v>
      </c>
      <c r="D401" s="143"/>
      <c r="E401" s="143"/>
      <c r="F401" s="143"/>
      <c r="G401" s="143"/>
      <c r="H401" s="36" t="s">
        <v>741</v>
      </c>
      <c r="I401" s="36" t="s">
        <v>629</v>
      </c>
      <c r="J401" s="36" t="s">
        <v>742</v>
      </c>
      <c r="K401" s="36"/>
      <c r="L401" s="56" t="s">
        <v>84</v>
      </c>
      <c r="M401" s="143"/>
      <c r="N401" s="143"/>
      <c r="O401" s="36">
        <v>22.0</v>
      </c>
      <c r="P401" s="40" t="s">
        <v>518</v>
      </c>
      <c r="Q401" s="40" t="s">
        <v>452</v>
      </c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ht="15.75" customHeight="1">
      <c r="A402" s="130"/>
      <c r="B402" s="131">
        <v>66.0</v>
      </c>
      <c r="C402" s="185">
        <v>46105.0</v>
      </c>
      <c r="D402" s="175"/>
      <c r="E402" s="175"/>
      <c r="F402" s="175"/>
      <c r="G402" s="175"/>
      <c r="H402" s="133" t="s">
        <v>743</v>
      </c>
      <c r="I402" s="133" t="s">
        <v>744</v>
      </c>
      <c r="J402" s="133" t="s">
        <v>415</v>
      </c>
      <c r="K402" s="133"/>
      <c r="L402" s="134" t="s">
        <v>49</v>
      </c>
      <c r="M402" s="175"/>
      <c r="N402" s="175"/>
      <c r="O402" s="133">
        <v>197.0</v>
      </c>
      <c r="P402" s="136" t="s">
        <v>451</v>
      </c>
      <c r="Q402" s="136" t="s">
        <v>452</v>
      </c>
      <c r="R402" s="176"/>
      <c r="S402" s="176"/>
      <c r="T402" s="176"/>
      <c r="U402" s="177">
        <v>197.0</v>
      </c>
      <c r="V402" s="177" t="s">
        <v>656</v>
      </c>
      <c r="W402" s="178">
        <f>297/1.18</f>
        <v>251.6949153</v>
      </c>
      <c r="X402" s="176"/>
      <c r="Y402" s="176"/>
      <c r="Z402" s="176"/>
      <c r="AA402" s="176"/>
      <c r="AB402" s="176"/>
      <c r="AC402" s="176"/>
      <c r="AD402" s="176"/>
      <c r="AE402" s="176"/>
      <c r="AF402" s="176"/>
      <c r="AG402" s="176"/>
    </row>
    <row r="403" ht="15.75" customHeight="1">
      <c r="A403" s="24"/>
      <c r="B403" s="34">
        <v>67.0</v>
      </c>
      <c r="C403" s="184">
        <v>46105.0</v>
      </c>
      <c r="D403" s="143"/>
      <c r="E403" s="143"/>
      <c r="F403" s="143"/>
      <c r="G403" s="143"/>
      <c r="H403" s="36" t="s">
        <v>743</v>
      </c>
      <c r="I403" s="36" t="s">
        <v>745</v>
      </c>
      <c r="J403" s="36" t="s">
        <v>415</v>
      </c>
      <c r="K403" s="36"/>
      <c r="L403" s="56" t="s">
        <v>49</v>
      </c>
      <c r="M403" s="143"/>
      <c r="N403" s="143"/>
      <c r="O403" s="208">
        <v>294.0</v>
      </c>
      <c r="P403" s="40" t="s">
        <v>451</v>
      </c>
      <c r="Q403" s="40" t="s">
        <v>452</v>
      </c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ht="15.75" customHeight="1">
      <c r="A404" s="24"/>
      <c r="B404" s="34">
        <v>68.0</v>
      </c>
      <c r="C404" s="184">
        <v>46106.0</v>
      </c>
      <c r="D404" s="143"/>
      <c r="E404" s="143"/>
      <c r="F404" s="143"/>
      <c r="G404" s="143"/>
      <c r="H404" s="36" t="s">
        <v>155</v>
      </c>
      <c r="I404" s="36" t="s">
        <v>647</v>
      </c>
      <c r="J404" s="36" t="s">
        <v>415</v>
      </c>
      <c r="K404" s="36"/>
      <c r="L404" s="56" t="s">
        <v>49</v>
      </c>
      <c r="M404" s="143"/>
      <c r="N404" s="143"/>
      <c r="O404" s="36">
        <v>297.0</v>
      </c>
      <c r="P404" s="40" t="s">
        <v>451</v>
      </c>
      <c r="Q404" s="40" t="s">
        <v>452</v>
      </c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ht="18.0" customHeight="1">
      <c r="A405" s="24"/>
      <c r="B405" s="34">
        <v>69.0</v>
      </c>
      <c r="C405" s="184">
        <v>46106.0</v>
      </c>
      <c r="D405" s="143"/>
      <c r="E405" s="143"/>
      <c r="F405" s="143"/>
      <c r="G405" s="143"/>
      <c r="H405" s="36" t="s">
        <v>746</v>
      </c>
      <c r="I405" s="209" t="s">
        <v>747</v>
      </c>
      <c r="J405" s="36" t="s">
        <v>748</v>
      </c>
      <c r="K405" s="36"/>
      <c r="L405" s="56" t="s">
        <v>49</v>
      </c>
      <c r="M405" s="143"/>
      <c r="N405" s="143"/>
      <c r="O405" s="36">
        <v>300.0</v>
      </c>
      <c r="P405" s="40" t="s">
        <v>451</v>
      </c>
      <c r="Q405" s="40" t="s">
        <v>452</v>
      </c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ht="15.75" customHeight="1">
      <c r="A406" s="24"/>
      <c r="B406" s="34">
        <v>70.0</v>
      </c>
      <c r="C406" s="184">
        <v>46106.0</v>
      </c>
      <c r="D406" s="143"/>
      <c r="E406" s="143"/>
      <c r="F406" s="143"/>
      <c r="G406" s="143"/>
      <c r="H406" s="36" t="s">
        <v>749</v>
      </c>
      <c r="I406" s="210" t="s">
        <v>750</v>
      </c>
      <c r="J406" s="36" t="s">
        <v>415</v>
      </c>
      <c r="K406" s="36"/>
      <c r="L406" s="56" t="s">
        <v>49</v>
      </c>
      <c r="M406" s="143"/>
      <c r="N406" s="143"/>
      <c r="O406" s="36">
        <v>347.0</v>
      </c>
      <c r="P406" s="40" t="s">
        <v>462</v>
      </c>
      <c r="Q406" s="40" t="s">
        <v>452</v>
      </c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ht="17.25" customHeight="1">
      <c r="A407" s="24"/>
      <c r="B407" s="34">
        <v>71.0</v>
      </c>
      <c r="C407" s="184">
        <v>46107.0</v>
      </c>
      <c r="D407" s="143"/>
      <c r="E407" s="143"/>
      <c r="F407" s="143"/>
      <c r="G407" s="143"/>
      <c r="H407" s="121" t="s">
        <v>751</v>
      </c>
      <c r="I407" s="36" t="s">
        <v>752</v>
      </c>
      <c r="J407" s="36" t="s">
        <v>415</v>
      </c>
      <c r="K407" s="36"/>
      <c r="L407" s="56" t="s">
        <v>49</v>
      </c>
      <c r="M407" s="143"/>
      <c r="N407" s="143"/>
      <c r="O407" s="36">
        <v>297.0</v>
      </c>
      <c r="P407" s="40" t="s">
        <v>451</v>
      </c>
      <c r="Q407" s="40" t="s">
        <v>452</v>
      </c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ht="18.0" customHeight="1">
      <c r="A408" s="130"/>
      <c r="B408" s="131">
        <v>72.0</v>
      </c>
      <c r="C408" s="185">
        <v>46108.0</v>
      </c>
      <c r="D408" s="175"/>
      <c r="E408" s="175"/>
      <c r="F408" s="175"/>
      <c r="G408" s="175"/>
      <c r="H408" s="114" t="s">
        <v>753</v>
      </c>
      <c r="I408" s="133" t="s">
        <v>754</v>
      </c>
      <c r="J408" s="133" t="s">
        <v>415</v>
      </c>
      <c r="K408" s="133"/>
      <c r="L408" s="134" t="s">
        <v>49</v>
      </c>
      <c r="M408" s="175"/>
      <c r="N408" s="175"/>
      <c r="O408" s="133">
        <v>197.0</v>
      </c>
      <c r="P408" s="136" t="s">
        <v>451</v>
      </c>
      <c r="Q408" s="136" t="s">
        <v>452</v>
      </c>
      <c r="R408" s="176"/>
      <c r="S408" s="176"/>
      <c r="T408" s="176"/>
      <c r="U408" s="176">
        <f>O408</f>
        <v>197</v>
      </c>
      <c r="V408" s="177" t="s">
        <v>86</v>
      </c>
      <c r="W408" s="178">
        <f>297/1.18</f>
        <v>251.6949153</v>
      </c>
      <c r="X408" s="211">
        <f>100/1.18</f>
        <v>84.74576271</v>
      </c>
      <c r="Y408" s="176"/>
      <c r="Z408" s="176"/>
      <c r="AA408" s="176"/>
      <c r="AB408" s="176"/>
      <c r="AC408" s="176"/>
      <c r="AD408" s="176"/>
      <c r="AE408" s="176"/>
      <c r="AF408" s="176"/>
      <c r="AG408" s="176"/>
    </row>
    <row r="409" ht="15.75" customHeight="1">
      <c r="A409" s="24"/>
      <c r="B409" s="34">
        <v>73.0</v>
      </c>
      <c r="C409" s="184">
        <v>46108.0</v>
      </c>
      <c r="D409" s="143"/>
      <c r="E409" s="143"/>
      <c r="F409" s="143"/>
      <c r="G409" s="143"/>
      <c r="H409" s="212" t="s">
        <v>755</v>
      </c>
      <c r="I409" s="187" t="s">
        <v>756</v>
      </c>
      <c r="J409" s="36" t="s">
        <v>710</v>
      </c>
      <c r="K409" s="36"/>
      <c r="L409" s="56" t="s">
        <v>49</v>
      </c>
      <c r="M409" s="143"/>
      <c r="N409" s="143"/>
      <c r="O409" s="36">
        <v>50.0</v>
      </c>
      <c r="P409" s="40" t="s">
        <v>451</v>
      </c>
      <c r="Q409" s="40" t="s">
        <v>452</v>
      </c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ht="17.25" customHeight="1">
      <c r="A410" s="24"/>
      <c r="B410" s="34">
        <v>74.0</v>
      </c>
      <c r="C410" s="184">
        <v>46108.0</v>
      </c>
      <c r="D410" s="143"/>
      <c r="E410" s="143"/>
      <c r="F410" s="143"/>
      <c r="G410" s="143"/>
      <c r="H410" s="121" t="s">
        <v>757</v>
      </c>
      <c r="I410" s="36" t="s">
        <v>757</v>
      </c>
      <c r="J410" s="36" t="s">
        <v>710</v>
      </c>
      <c r="K410" s="36"/>
      <c r="L410" s="56" t="s">
        <v>49</v>
      </c>
      <c r="M410" s="143"/>
      <c r="N410" s="143"/>
      <c r="O410" s="36">
        <v>45.0</v>
      </c>
      <c r="P410" s="40" t="s">
        <v>451</v>
      </c>
      <c r="Q410" s="40" t="s">
        <v>586</v>
      </c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ht="18.0" customHeight="1">
      <c r="A411" s="24"/>
      <c r="B411" s="34">
        <v>75.0</v>
      </c>
      <c r="C411" s="184">
        <v>46108.0</v>
      </c>
      <c r="D411" s="143"/>
      <c r="E411" s="143"/>
      <c r="F411" s="143"/>
      <c r="G411" s="143"/>
      <c r="H411" s="121" t="s">
        <v>758</v>
      </c>
      <c r="I411" s="213" t="s">
        <v>759</v>
      </c>
      <c r="J411" s="36" t="s">
        <v>415</v>
      </c>
      <c r="K411" s="36"/>
      <c r="L411" s="56" t="s">
        <v>49</v>
      </c>
      <c r="M411" s="143"/>
      <c r="N411" s="143"/>
      <c r="O411" s="36">
        <v>329.0</v>
      </c>
      <c r="P411" s="40" t="s">
        <v>451</v>
      </c>
      <c r="Q411" s="40" t="s">
        <v>452</v>
      </c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ht="18.0" customHeight="1">
      <c r="A412" s="24"/>
      <c r="B412" s="34">
        <v>76.0</v>
      </c>
      <c r="C412" s="184">
        <v>46108.0</v>
      </c>
      <c r="D412" s="143"/>
      <c r="E412" s="143"/>
      <c r="F412" s="143"/>
      <c r="G412" s="143"/>
      <c r="H412" s="214" t="s">
        <v>760</v>
      </c>
      <c r="I412" s="36" t="s">
        <v>761</v>
      </c>
      <c r="J412" s="36" t="s">
        <v>415</v>
      </c>
      <c r="K412" s="36"/>
      <c r="L412" s="56" t="s">
        <v>49</v>
      </c>
      <c r="M412" s="143"/>
      <c r="N412" s="143"/>
      <c r="O412" s="36">
        <v>297.0</v>
      </c>
      <c r="P412" s="40" t="s">
        <v>451</v>
      </c>
      <c r="Q412" s="40" t="s">
        <v>452</v>
      </c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ht="18.0" customHeight="1">
      <c r="A413" s="24"/>
      <c r="B413" s="34">
        <v>77.0</v>
      </c>
      <c r="C413" s="184">
        <v>46109.0</v>
      </c>
      <c r="D413" s="143"/>
      <c r="E413" s="143"/>
      <c r="F413" s="143"/>
      <c r="G413" s="143"/>
      <c r="H413" s="36" t="s">
        <v>762</v>
      </c>
      <c r="I413" s="36" t="s">
        <v>763</v>
      </c>
      <c r="J413" s="36" t="s">
        <v>415</v>
      </c>
      <c r="K413" s="36"/>
      <c r="L413" s="56" t="s">
        <v>49</v>
      </c>
      <c r="M413" s="143"/>
      <c r="N413" s="143"/>
      <c r="O413" s="36">
        <v>297.0</v>
      </c>
      <c r="P413" s="40" t="s">
        <v>451</v>
      </c>
      <c r="Q413" s="40" t="s">
        <v>452</v>
      </c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ht="18.0" customHeight="1">
      <c r="A414" s="24"/>
      <c r="B414" s="34">
        <v>78.0</v>
      </c>
      <c r="C414" s="184">
        <v>46109.0</v>
      </c>
      <c r="D414" s="143"/>
      <c r="E414" s="143"/>
      <c r="F414" s="143"/>
      <c r="G414" s="143"/>
      <c r="H414" s="36" t="s">
        <v>764</v>
      </c>
      <c r="I414" s="36" t="s">
        <v>629</v>
      </c>
      <c r="J414" s="36" t="s">
        <v>765</v>
      </c>
      <c r="K414" s="36"/>
      <c r="L414" s="56" t="s">
        <v>84</v>
      </c>
      <c r="M414" s="143"/>
      <c r="N414" s="143"/>
      <c r="O414" s="36">
        <v>40.0</v>
      </c>
      <c r="P414" s="40" t="s">
        <v>462</v>
      </c>
      <c r="Q414" s="40" t="s">
        <v>452</v>
      </c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ht="15.75" customHeight="1">
      <c r="A415" s="24"/>
      <c r="B415" s="34">
        <v>79.0</v>
      </c>
      <c r="C415" s="184">
        <v>46112.0</v>
      </c>
      <c r="D415" s="143"/>
      <c r="E415" s="143"/>
      <c r="F415" s="143"/>
      <c r="G415" s="143"/>
      <c r="H415" s="36" t="s">
        <v>766</v>
      </c>
      <c r="I415" s="36" t="s">
        <v>767</v>
      </c>
      <c r="J415" s="215" t="s">
        <v>415</v>
      </c>
      <c r="K415" s="215"/>
      <c r="L415" s="56" t="s">
        <v>49</v>
      </c>
      <c r="M415" s="91"/>
      <c r="N415" s="91"/>
      <c r="O415" s="36">
        <v>297.0</v>
      </c>
      <c r="P415" s="40" t="s">
        <v>451</v>
      </c>
      <c r="Q415" s="40" t="s">
        <v>452</v>
      </c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ht="15.75" customHeight="1">
      <c r="A416" s="24"/>
      <c r="B416" s="34">
        <v>80.0</v>
      </c>
      <c r="C416" s="184">
        <v>46112.0</v>
      </c>
      <c r="D416" s="143"/>
      <c r="E416" s="143"/>
      <c r="F416" s="143"/>
      <c r="G416" s="143"/>
      <c r="H416" s="36" t="s">
        <v>768</v>
      </c>
      <c r="I416" s="36" t="s">
        <v>629</v>
      </c>
      <c r="J416" s="216" t="s">
        <v>769</v>
      </c>
      <c r="K416" s="216"/>
      <c r="L416" s="56" t="s">
        <v>84</v>
      </c>
      <c r="M416" s="73"/>
      <c r="N416" s="73"/>
      <c r="O416" s="156">
        <v>45.0</v>
      </c>
      <c r="P416" s="40" t="s">
        <v>462</v>
      </c>
      <c r="Q416" s="40" t="s">
        <v>452</v>
      </c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ht="15.75" customHeight="1">
      <c r="A417" s="24"/>
      <c r="B417" s="34">
        <v>81.0</v>
      </c>
      <c r="C417" s="184">
        <v>46112.0</v>
      </c>
      <c r="D417" s="143"/>
      <c r="E417" s="143"/>
      <c r="F417" s="143"/>
      <c r="G417" s="143"/>
      <c r="H417" s="36" t="s">
        <v>770</v>
      </c>
      <c r="I417" s="36" t="s">
        <v>770</v>
      </c>
      <c r="J417" s="36" t="s">
        <v>415</v>
      </c>
      <c r="K417" s="36"/>
      <c r="L417" s="56" t="s">
        <v>49</v>
      </c>
      <c r="M417" s="143"/>
      <c r="N417" s="143"/>
      <c r="O417" s="36">
        <v>358.0</v>
      </c>
      <c r="P417" s="40" t="s">
        <v>518</v>
      </c>
      <c r="Q417" s="40" t="s">
        <v>452</v>
      </c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ht="15.75" customHeight="1">
      <c r="A418" s="24"/>
      <c r="B418" s="34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80">
        <f>SUM(O337:O417)</f>
        <v>18056.7</v>
      </c>
      <c r="P418" s="143"/>
      <c r="Q418" s="143"/>
      <c r="R418" s="23"/>
      <c r="S418" s="80">
        <f>SUM(S337:S417)</f>
        <v>1751.2</v>
      </c>
      <c r="T418" s="23"/>
      <c r="U418" s="80">
        <f>SUM(U337:U417)</f>
        <v>1674</v>
      </c>
      <c r="V418" s="81">
        <f>SUM(S418:U418)</f>
        <v>3425.2</v>
      </c>
      <c r="W418" s="217">
        <f>V418/1.18</f>
        <v>2902.711864</v>
      </c>
      <c r="X418" s="217">
        <f>W418*18%</f>
        <v>522.4881356</v>
      </c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ht="15.75" customHeight="1">
      <c r="A419" s="24"/>
      <c r="B419" s="34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23"/>
      <c r="S419" s="23"/>
      <c r="T419" s="23"/>
      <c r="U419" s="23"/>
      <c r="V419" s="60">
        <v>3400.0</v>
      </c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ht="15.75" customHeight="1">
      <c r="A420" s="84"/>
      <c r="B420" s="8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71">
        <f>V419-V418</f>
        <v>-25.2</v>
      </c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ht="15.75" customHeight="1">
      <c r="A421" s="5"/>
      <c r="B421" s="9" t="s">
        <v>771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7"/>
      <c r="P421" s="5"/>
      <c r="Q421" s="5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ht="15.75" customHeight="1">
      <c r="A422" s="84"/>
      <c r="B422" s="8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ht="15.75" customHeight="1">
      <c r="A423" s="85"/>
      <c r="B423" s="32" t="s">
        <v>1</v>
      </c>
      <c r="C423" s="32" t="s">
        <v>3</v>
      </c>
      <c r="D423" s="35" t="s">
        <v>4</v>
      </c>
      <c r="E423" s="7"/>
      <c r="F423" s="8"/>
      <c r="G423" s="86"/>
      <c r="H423" s="30" t="s">
        <v>29</v>
      </c>
      <c r="I423" s="32" t="s">
        <v>30</v>
      </c>
      <c r="J423" s="32" t="s">
        <v>7</v>
      </c>
      <c r="K423" s="48"/>
      <c r="L423" s="30" t="s">
        <v>34</v>
      </c>
      <c r="M423" s="32" t="s">
        <v>37</v>
      </c>
      <c r="N423" s="32" t="s">
        <v>10</v>
      </c>
      <c r="O423" s="32" t="s">
        <v>38</v>
      </c>
      <c r="P423" s="43" t="s">
        <v>39</v>
      </c>
      <c r="Q423" s="43" t="s">
        <v>40</v>
      </c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ht="15.75" customHeight="1">
      <c r="A424" s="85"/>
      <c r="B424" s="11"/>
      <c r="C424" s="11"/>
      <c r="D424" s="48" t="s">
        <v>12</v>
      </c>
      <c r="E424" s="48" t="s">
        <v>13</v>
      </c>
      <c r="F424" s="48" t="s">
        <v>14</v>
      </c>
      <c r="G424" s="86"/>
      <c r="H424" s="11"/>
      <c r="I424" s="11"/>
      <c r="J424" s="11"/>
      <c r="K424" s="48"/>
      <c r="L424" s="11"/>
      <c r="M424" s="11"/>
      <c r="N424" s="11"/>
      <c r="O424" s="11"/>
      <c r="P424" s="11"/>
      <c r="Q424" s="11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ht="15.75" customHeight="1">
      <c r="A425" s="24"/>
      <c r="B425" s="34">
        <v>1.0</v>
      </c>
      <c r="C425" s="184">
        <v>46113.0</v>
      </c>
      <c r="D425" s="143"/>
      <c r="E425" s="143"/>
      <c r="F425" s="143"/>
      <c r="G425" s="143"/>
      <c r="H425" s="36" t="s">
        <v>411</v>
      </c>
      <c r="I425" s="36" t="s">
        <v>412</v>
      </c>
      <c r="J425" s="36" t="s">
        <v>772</v>
      </c>
      <c r="K425" s="36"/>
      <c r="L425" s="56" t="s">
        <v>49</v>
      </c>
      <c r="M425" s="143"/>
      <c r="N425" s="143"/>
      <c r="O425" s="36">
        <v>197.0</v>
      </c>
      <c r="P425" s="40" t="s">
        <v>451</v>
      </c>
      <c r="Q425" s="40" t="s">
        <v>452</v>
      </c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ht="15.75" customHeight="1">
      <c r="A426" s="24"/>
      <c r="B426" s="34">
        <v>2.0</v>
      </c>
      <c r="C426" s="184">
        <v>46113.0</v>
      </c>
      <c r="D426" s="143"/>
      <c r="E426" s="143"/>
      <c r="F426" s="143"/>
      <c r="G426" s="143"/>
      <c r="H426" s="218" t="s">
        <v>773</v>
      </c>
      <c r="I426" s="36" t="s">
        <v>774</v>
      </c>
      <c r="J426" s="36" t="s">
        <v>775</v>
      </c>
      <c r="K426" s="36"/>
      <c r="L426" s="56" t="s">
        <v>49</v>
      </c>
      <c r="M426" s="143"/>
      <c r="N426" s="143"/>
      <c r="O426" s="36">
        <v>394.0</v>
      </c>
      <c r="P426" s="40" t="s">
        <v>451</v>
      </c>
      <c r="Q426" s="40" t="s">
        <v>452</v>
      </c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ht="15.75" customHeight="1">
      <c r="A427" s="24"/>
      <c r="B427" s="34">
        <v>3.0</v>
      </c>
      <c r="C427" s="184">
        <v>46113.0</v>
      </c>
      <c r="D427" s="143"/>
      <c r="E427" s="143"/>
      <c r="F427" s="143"/>
      <c r="G427" s="143"/>
      <c r="H427" s="219" t="s">
        <v>776</v>
      </c>
      <c r="I427" s="36" t="s">
        <v>777</v>
      </c>
      <c r="J427" s="36" t="s">
        <v>506</v>
      </c>
      <c r="K427" s="36"/>
      <c r="L427" s="56" t="s">
        <v>84</v>
      </c>
      <c r="M427" s="143"/>
      <c r="N427" s="143"/>
      <c r="O427" s="36">
        <v>199.0</v>
      </c>
      <c r="P427" s="40" t="s">
        <v>451</v>
      </c>
      <c r="Q427" s="40" t="s">
        <v>452</v>
      </c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ht="17.25" customHeight="1">
      <c r="A428" s="24"/>
      <c r="B428" s="34">
        <v>4.0</v>
      </c>
      <c r="C428" s="220">
        <v>46114.0</v>
      </c>
      <c r="D428" s="36">
        <v>3.0</v>
      </c>
      <c r="E428" s="36" t="s">
        <v>67</v>
      </c>
      <c r="F428" s="36">
        <v>54.0</v>
      </c>
      <c r="G428" s="36">
        <v>4.1599476E7</v>
      </c>
      <c r="H428" s="36" t="s">
        <v>778</v>
      </c>
      <c r="I428" s="221" t="s">
        <v>779</v>
      </c>
      <c r="J428" s="36" t="s">
        <v>780</v>
      </c>
      <c r="K428" s="36"/>
      <c r="L428" s="56" t="s">
        <v>49</v>
      </c>
      <c r="M428" s="143"/>
      <c r="N428" s="143"/>
      <c r="O428" s="36">
        <v>261.0</v>
      </c>
      <c r="P428" s="40" t="s">
        <v>451</v>
      </c>
      <c r="Q428" s="40" t="s">
        <v>452</v>
      </c>
      <c r="R428" s="23"/>
      <c r="S428" s="60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ht="15.75" customHeight="1">
      <c r="A429" s="24"/>
      <c r="B429" s="34">
        <v>5.0</v>
      </c>
      <c r="C429" s="220">
        <v>46114.0</v>
      </c>
      <c r="D429" s="36">
        <v>3.0</v>
      </c>
      <c r="E429" s="36" t="s">
        <v>67</v>
      </c>
      <c r="F429" s="36">
        <v>54.0</v>
      </c>
      <c r="G429" s="36">
        <v>4.1599476E7</v>
      </c>
      <c r="H429" s="36" t="s">
        <v>778</v>
      </c>
      <c r="I429" s="222" t="s">
        <v>781</v>
      </c>
      <c r="J429" s="36" t="s">
        <v>780</v>
      </c>
      <c r="K429" s="36"/>
      <c r="L429" s="56" t="s">
        <v>49</v>
      </c>
      <c r="M429" s="143"/>
      <c r="N429" s="143"/>
      <c r="O429" s="36">
        <v>261.0</v>
      </c>
      <c r="P429" s="40" t="s">
        <v>451</v>
      </c>
      <c r="Q429" s="40" t="s">
        <v>452</v>
      </c>
      <c r="R429" s="23"/>
      <c r="S429" s="195">
        <v>522.0</v>
      </c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ht="15.75" customHeight="1">
      <c r="A430" s="24"/>
      <c r="B430" s="34">
        <v>6.0</v>
      </c>
      <c r="C430" s="223">
        <v>46116.0</v>
      </c>
      <c r="D430" s="36">
        <v>3.0</v>
      </c>
      <c r="E430" s="36" t="s">
        <v>67</v>
      </c>
      <c r="F430" s="36">
        <v>53.0</v>
      </c>
      <c r="G430" s="36">
        <v>4.4528555E7</v>
      </c>
      <c r="H430" s="36" t="s">
        <v>782</v>
      </c>
      <c r="I430" s="221" t="s">
        <v>783</v>
      </c>
      <c r="J430" s="36" t="s">
        <v>784</v>
      </c>
      <c r="K430" s="36"/>
      <c r="L430" s="56" t="s">
        <v>49</v>
      </c>
      <c r="M430" s="143"/>
      <c r="N430" s="143"/>
      <c r="O430" s="36">
        <v>252.0</v>
      </c>
      <c r="P430" s="40" t="s">
        <v>451</v>
      </c>
      <c r="Q430" s="40" t="s">
        <v>452</v>
      </c>
      <c r="R430" s="23"/>
      <c r="S430" s="195">
        <v>252.0</v>
      </c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ht="15.75" customHeight="1">
      <c r="A431" s="24"/>
      <c r="B431" s="34">
        <v>7.0</v>
      </c>
      <c r="C431" s="223">
        <v>46116.0</v>
      </c>
      <c r="D431" s="143"/>
      <c r="E431" s="143"/>
      <c r="F431" s="143"/>
      <c r="G431" s="143"/>
      <c r="H431" s="36" t="s">
        <v>785</v>
      </c>
      <c r="I431" s="36" t="s">
        <v>629</v>
      </c>
      <c r="J431" s="36" t="s">
        <v>786</v>
      </c>
      <c r="K431" s="36"/>
      <c r="L431" s="56" t="s">
        <v>84</v>
      </c>
      <c r="M431" s="143"/>
      <c r="N431" s="143"/>
      <c r="O431" s="36">
        <v>35.0</v>
      </c>
      <c r="P431" s="40" t="s">
        <v>462</v>
      </c>
      <c r="Q431" s="40" t="s">
        <v>452</v>
      </c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ht="15.75" customHeight="1">
      <c r="A432" s="24"/>
      <c r="B432" s="34">
        <v>8.0</v>
      </c>
      <c r="C432" s="223">
        <v>46116.0</v>
      </c>
      <c r="D432" s="143"/>
      <c r="E432" s="143"/>
      <c r="F432" s="143"/>
      <c r="G432" s="143"/>
      <c r="H432" s="224" t="s">
        <v>156</v>
      </c>
      <c r="I432" s="36" t="s">
        <v>629</v>
      </c>
      <c r="J432" s="36" t="s">
        <v>787</v>
      </c>
      <c r="K432" s="36"/>
      <c r="L432" s="56" t="s">
        <v>84</v>
      </c>
      <c r="M432" s="143"/>
      <c r="N432" s="143"/>
      <c r="O432" s="36">
        <v>60.0</v>
      </c>
      <c r="P432" s="40" t="s">
        <v>462</v>
      </c>
      <c r="Q432" s="40" t="s">
        <v>452</v>
      </c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ht="15.75" customHeight="1">
      <c r="A433" s="24"/>
      <c r="B433" s="34">
        <v>9.0</v>
      </c>
      <c r="C433" s="223">
        <v>46116.0</v>
      </c>
      <c r="D433" s="143"/>
      <c r="E433" s="143"/>
      <c r="F433" s="143"/>
      <c r="G433" s="143"/>
      <c r="H433" s="224" t="s">
        <v>788</v>
      </c>
      <c r="I433" s="36" t="s">
        <v>629</v>
      </c>
      <c r="J433" s="36" t="s">
        <v>789</v>
      </c>
      <c r="K433" s="36"/>
      <c r="L433" s="56" t="s">
        <v>84</v>
      </c>
      <c r="M433" s="143"/>
      <c r="N433" s="143"/>
      <c r="O433" s="36">
        <v>5.0</v>
      </c>
      <c r="P433" s="40" t="s">
        <v>462</v>
      </c>
      <c r="Q433" s="40" t="s">
        <v>452</v>
      </c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ht="15.75" customHeight="1">
      <c r="A434" s="24"/>
      <c r="B434" s="34">
        <v>10.0</v>
      </c>
      <c r="C434" s="223">
        <v>46116.0</v>
      </c>
      <c r="D434" s="143"/>
      <c r="E434" s="143"/>
      <c r="F434" s="143"/>
      <c r="G434" s="143"/>
      <c r="H434" s="224" t="s">
        <v>788</v>
      </c>
      <c r="I434" s="36" t="s">
        <v>629</v>
      </c>
      <c r="J434" s="36" t="s">
        <v>790</v>
      </c>
      <c r="K434" s="36"/>
      <c r="L434" s="56" t="s">
        <v>84</v>
      </c>
      <c r="M434" s="143"/>
      <c r="N434" s="143"/>
      <c r="O434" s="36">
        <v>4.0</v>
      </c>
      <c r="P434" s="40" t="s">
        <v>462</v>
      </c>
      <c r="Q434" s="40" t="s">
        <v>452</v>
      </c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ht="15.75" customHeight="1">
      <c r="A435" s="24"/>
      <c r="B435" s="34">
        <v>11.0</v>
      </c>
      <c r="C435" s="225">
        <v>46118.0</v>
      </c>
      <c r="D435" s="143"/>
      <c r="E435" s="143"/>
      <c r="F435" s="143"/>
      <c r="G435" s="143"/>
      <c r="H435" s="36" t="s">
        <v>257</v>
      </c>
      <c r="I435" s="36" t="s">
        <v>645</v>
      </c>
      <c r="J435" s="36" t="s">
        <v>780</v>
      </c>
      <c r="K435" s="36"/>
      <c r="L435" s="56" t="s">
        <v>49</v>
      </c>
      <c r="M435" s="143"/>
      <c r="N435" s="143"/>
      <c r="O435" s="36">
        <v>197.0</v>
      </c>
      <c r="P435" s="40" t="s">
        <v>451</v>
      </c>
      <c r="Q435" s="40" t="s">
        <v>452</v>
      </c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ht="15.75" customHeight="1">
      <c r="A436" s="24"/>
      <c r="B436" s="34">
        <v>12.0</v>
      </c>
      <c r="C436" s="225">
        <v>46118.0</v>
      </c>
      <c r="D436" s="143"/>
      <c r="E436" s="143"/>
      <c r="F436" s="143"/>
      <c r="G436" s="143"/>
      <c r="H436" s="36" t="s">
        <v>621</v>
      </c>
      <c r="I436" s="36" t="s">
        <v>622</v>
      </c>
      <c r="J436" s="36" t="s">
        <v>780</v>
      </c>
      <c r="K436" s="36"/>
      <c r="L436" s="56" t="s">
        <v>49</v>
      </c>
      <c r="M436" s="143"/>
      <c r="N436" s="143"/>
      <c r="O436" s="36">
        <v>297.0</v>
      </c>
      <c r="P436" s="226" t="s">
        <v>451</v>
      </c>
      <c r="Q436" s="40" t="s">
        <v>586</v>
      </c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ht="15.75" customHeight="1">
      <c r="A437" s="24"/>
      <c r="B437" s="34">
        <v>13.0</v>
      </c>
      <c r="C437" s="225">
        <v>46118.0</v>
      </c>
      <c r="D437" s="143"/>
      <c r="E437" s="143"/>
      <c r="F437" s="143"/>
      <c r="G437" s="143"/>
      <c r="H437" s="36" t="s">
        <v>791</v>
      </c>
      <c r="I437" s="36" t="s">
        <v>629</v>
      </c>
      <c r="J437" s="227" t="s">
        <v>792</v>
      </c>
      <c r="K437" s="227"/>
      <c r="L437" s="56" t="s">
        <v>84</v>
      </c>
      <c r="M437" s="143"/>
      <c r="N437" s="143"/>
      <c r="O437" s="36">
        <v>120.0</v>
      </c>
      <c r="P437" s="40" t="s">
        <v>518</v>
      </c>
      <c r="Q437" s="40" t="s">
        <v>631</v>
      </c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ht="15.75" customHeight="1">
      <c r="A438" s="24"/>
      <c r="B438" s="34">
        <v>14.0</v>
      </c>
      <c r="C438" s="225">
        <v>46118.0</v>
      </c>
      <c r="D438" s="143"/>
      <c r="E438" s="143"/>
      <c r="F438" s="143"/>
      <c r="G438" s="143"/>
      <c r="H438" s="36" t="s">
        <v>791</v>
      </c>
      <c r="I438" s="36" t="s">
        <v>629</v>
      </c>
      <c r="J438" s="36" t="s">
        <v>793</v>
      </c>
      <c r="K438" s="36"/>
      <c r="L438" s="56" t="s">
        <v>84</v>
      </c>
      <c r="M438" s="143"/>
      <c r="N438" s="143"/>
      <c r="O438" s="36">
        <v>49.0</v>
      </c>
      <c r="P438" s="40" t="s">
        <v>518</v>
      </c>
      <c r="Q438" s="40" t="s">
        <v>631</v>
      </c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ht="14.25" customHeight="1">
      <c r="A439" s="24"/>
      <c r="B439" s="34">
        <v>15.0</v>
      </c>
      <c r="C439" s="225">
        <v>46118.0</v>
      </c>
      <c r="D439" s="143"/>
      <c r="E439" s="143"/>
      <c r="F439" s="143"/>
      <c r="G439" s="143"/>
      <c r="H439" s="36" t="s">
        <v>794</v>
      </c>
      <c r="I439" s="36" t="s">
        <v>795</v>
      </c>
      <c r="J439" s="36" t="s">
        <v>796</v>
      </c>
      <c r="K439" s="36"/>
      <c r="L439" s="56" t="s">
        <v>49</v>
      </c>
      <c r="M439" s="143"/>
      <c r="N439" s="143"/>
      <c r="O439" s="36">
        <v>97.0</v>
      </c>
      <c r="P439" s="40" t="s">
        <v>451</v>
      </c>
      <c r="Q439" s="40" t="s">
        <v>452</v>
      </c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ht="15.0" customHeight="1">
      <c r="A440" s="24"/>
      <c r="B440" s="34">
        <v>16.0</v>
      </c>
      <c r="C440" s="228">
        <v>46119.0</v>
      </c>
      <c r="D440" s="143"/>
      <c r="E440" s="143"/>
      <c r="F440" s="143"/>
      <c r="G440" s="143"/>
      <c r="H440" s="36" t="s">
        <v>797</v>
      </c>
      <c r="I440" s="36" t="s">
        <v>798</v>
      </c>
      <c r="J440" s="36" t="s">
        <v>799</v>
      </c>
      <c r="K440" s="36"/>
      <c r="L440" s="56" t="s">
        <v>49</v>
      </c>
      <c r="M440" s="143"/>
      <c r="N440" s="143"/>
      <c r="O440" s="36">
        <v>150.0</v>
      </c>
      <c r="P440" s="40" t="s">
        <v>451</v>
      </c>
      <c r="Q440" s="40" t="s">
        <v>586</v>
      </c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ht="15.75" customHeight="1">
      <c r="A441" s="24"/>
      <c r="B441" s="34">
        <v>17.0</v>
      </c>
      <c r="C441" s="228">
        <v>46119.0</v>
      </c>
      <c r="D441" s="36">
        <v>3.0</v>
      </c>
      <c r="E441" s="36" t="s">
        <v>67</v>
      </c>
      <c r="F441" s="36">
        <v>55.0</v>
      </c>
      <c r="G441" s="36">
        <v>4.2054053E7</v>
      </c>
      <c r="H441" s="36" t="s">
        <v>648</v>
      </c>
      <c r="I441" s="218" t="s">
        <v>648</v>
      </c>
      <c r="J441" s="36" t="s">
        <v>780</v>
      </c>
      <c r="K441" s="36"/>
      <c r="L441" s="56" t="s">
        <v>49</v>
      </c>
      <c r="M441" s="143"/>
      <c r="N441" s="143"/>
      <c r="O441" s="36">
        <v>297.0</v>
      </c>
      <c r="P441" s="40" t="s">
        <v>451</v>
      </c>
      <c r="Q441" s="40" t="s">
        <v>253</v>
      </c>
      <c r="R441" s="23"/>
      <c r="S441" s="195">
        <v>297.0</v>
      </c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ht="13.5" customHeight="1">
      <c r="A442" s="24"/>
      <c r="B442" s="34">
        <v>18.0</v>
      </c>
      <c r="C442" s="228">
        <v>46119.0</v>
      </c>
      <c r="D442" s="143"/>
      <c r="E442" s="143"/>
      <c r="F442" s="143"/>
      <c r="G442" s="143"/>
      <c r="H442" s="36" t="s">
        <v>794</v>
      </c>
      <c r="I442" s="36" t="s">
        <v>795</v>
      </c>
      <c r="J442" s="36" t="s">
        <v>780</v>
      </c>
      <c r="K442" s="36"/>
      <c r="L442" s="56" t="s">
        <v>49</v>
      </c>
      <c r="M442" s="143"/>
      <c r="N442" s="143"/>
      <c r="O442" s="36">
        <v>260.0</v>
      </c>
      <c r="P442" s="40" t="s">
        <v>451</v>
      </c>
      <c r="Q442" s="40" t="s">
        <v>586</v>
      </c>
      <c r="R442" s="23"/>
      <c r="S442" s="195">
        <v>297.0</v>
      </c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ht="14.25" customHeight="1">
      <c r="A443" s="24"/>
      <c r="B443" s="34">
        <v>19.0</v>
      </c>
      <c r="C443" s="228">
        <v>46119.0</v>
      </c>
      <c r="D443" s="36">
        <v>3.0</v>
      </c>
      <c r="E443" s="36" t="s">
        <v>67</v>
      </c>
      <c r="F443" s="36">
        <v>56.0</v>
      </c>
      <c r="G443" s="36">
        <v>4.0954834E7</v>
      </c>
      <c r="H443" s="36" t="s">
        <v>800</v>
      </c>
      <c r="I443" s="36" t="s">
        <v>801</v>
      </c>
      <c r="J443" s="36" t="s">
        <v>780</v>
      </c>
      <c r="K443" s="36"/>
      <c r="L443" s="56" t="s">
        <v>49</v>
      </c>
      <c r="M443" s="143"/>
      <c r="N443" s="143"/>
      <c r="O443" s="36">
        <v>297.0</v>
      </c>
      <c r="P443" s="40" t="s">
        <v>451</v>
      </c>
      <c r="Q443" s="40" t="s">
        <v>802</v>
      </c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ht="15.0" customHeight="1">
      <c r="A444" s="24"/>
      <c r="B444" s="34">
        <v>20.0</v>
      </c>
      <c r="C444" s="229">
        <v>46120.0</v>
      </c>
      <c r="D444" s="143"/>
      <c r="E444" s="143"/>
      <c r="F444" s="143"/>
      <c r="G444" s="143"/>
      <c r="H444" s="36" t="s">
        <v>803</v>
      </c>
      <c r="I444" s="36" t="s">
        <v>804</v>
      </c>
      <c r="J444" s="36" t="s">
        <v>780</v>
      </c>
      <c r="K444" s="36"/>
      <c r="L444" s="56" t="s">
        <v>49</v>
      </c>
      <c r="M444" s="143"/>
      <c r="N444" s="143"/>
      <c r="O444" s="36">
        <v>329.0</v>
      </c>
      <c r="P444" s="40" t="s">
        <v>451</v>
      </c>
      <c r="Q444" s="40" t="s">
        <v>452</v>
      </c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ht="15.75" customHeight="1">
      <c r="A445" s="24"/>
      <c r="B445" s="34">
        <v>21.0</v>
      </c>
      <c r="C445" s="229">
        <v>46120.0</v>
      </c>
      <c r="D445" s="143"/>
      <c r="E445" s="143"/>
      <c r="F445" s="143"/>
      <c r="G445" s="143"/>
      <c r="H445" s="36" t="s">
        <v>805</v>
      </c>
      <c r="I445" s="36" t="s">
        <v>805</v>
      </c>
      <c r="J445" s="36" t="s">
        <v>806</v>
      </c>
      <c r="K445" s="36"/>
      <c r="L445" s="56" t="s">
        <v>49</v>
      </c>
      <c r="M445" s="143"/>
      <c r="N445" s="143"/>
      <c r="O445" s="36">
        <v>244.0</v>
      </c>
      <c r="P445" s="40" t="s">
        <v>451</v>
      </c>
      <c r="Q445" s="40" t="s">
        <v>452</v>
      </c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ht="15.75" customHeight="1">
      <c r="A446" s="24"/>
      <c r="B446" s="34">
        <v>22.0</v>
      </c>
      <c r="C446" s="229">
        <v>46120.0</v>
      </c>
      <c r="D446" s="36">
        <v>1.0</v>
      </c>
      <c r="E446" s="36" t="s">
        <v>43</v>
      </c>
      <c r="F446" s="36">
        <v>3.0</v>
      </c>
      <c r="G446" s="36">
        <v>2.061386906E10</v>
      </c>
      <c r="H446" s="36" t="s">
        <v>807</v>
      </c>
      <c r="I446" s="36" t="s">
        <v>629</v>
      </c>
      <c r="J446" s="36" t="s">
        <v>808</v>
      </c>
      <c r="K446" s="36"/>
      <c r="L446" s="56" t="s">
        <v>84</v>
      </c>
      <c r="M446" s="143"/>
      <c r="N446" s="143"/>
      <c r="O446" s="36">
        <v>200.0</v>
      </c>
      <c r="P446" s="40" t="s">
        <v>462</v>
      </c>
      <c r="Q446" s="40" t="s">
        <v>452</v>
      </c>
      <c r="R446" s="23"/>
      <c r="S446" s="195">
        <v>200.0</v>
      </c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ht="15.75" customHeight="1">
      <c r="A447" s="24"/>
      <c r="B447" s="34">
        <v>23.0</v>
      </c>
      <c r="C447" s="229">
        <v>46120.0</v>
      </c>
      <c r="D447" s="143"/>
      <c r="E447" s="143"/>
      <c r="F447" s="143"/>
      <c r="G447" s="143"/>
      <c r="H447" s="36" t="s">
        <v>809</v>
      </c>
      <c r="I447" s="36" t="s">
        <v>629</v>
      </c>
      <c r="J447" s="36" t="s">
        <v>810</v>
      </c>
      <c r="K447" s="36"/>
      <c r="L447" s="56" t="s">
        <v>84</v>
      </c>
      <c r="M447" s="143"/>
      <c r="N447" s="143"/>
      <c r="O447" s="36">
        <v>50.0</v>
      </c>
      <c r="P447" s="40" t="s">
        <v>462</v>
      </c>
      <c r="Q447" s="40" t="s">
        <v>452</v>
      </c>
      <c r="R447" s="23"/>
      <c r="S447" s="95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ht="15.75" customHeight="1">
      <c r="A448" s="24"/>
      <c r="B448" s="34">
        <v>24.0</v>
      </c>
      <c r="C448" s="230">
        <v>46121.0</v>
      </c>
      <c r="D448" s="143"/>
      <c r="E448" s="143"/>
      <c r="F448" s="143"/>
      <c r="G448" s="143"/>
      <c r="H448" s="36" t="s">
        <v>811</v>
      </c>
      <c r="I448" s="36" t="s">
        <v>629</v>
      </c>
      <c r="J448" s="36" t="s">
        <v>812</v>
      </c>
      <c r="K448" s="36"/>
      <c r="L448" s="56" t="s">
        <v>84</v>
      </c>
      <c r="M448" s="143"/>
      <c r="N448" s="143"/>
      <c r="O448" s="36">
        <v>34.0</v>
      </c>
      <c r="P448" s="40" t="s">
        <v>462</v>
      </c>
      <c r="Q448" s="40" t="s">
        <v>452</v>
      </c>
      <c r="R448" s="23"/>
      <c r="S448" s="95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ht="15.75" customHeight="1">
      <c r="A449" s="24"/>
      <c r="B449" s="34">
        <v>25.0</v>
      </c>
      <c r="C449" s="230">
        <v>46122.0</v>
      </c>
      <c r="D449" s="143"/>
      <c r="E449" s="143"/>
      <c r="F449" s="143"/>
      <c r="G449" s="143"/>
      <c r="H449" s="36" t="s">
        <v>813</v>
      </c>
      <c r="I449" s="36" t="s">
        <v>813</v>
      </c>
      <c r="J449" s="36" t="s">
        <v>814</v>
      </c>
      <c r="K449" s="36"/>
      <c r="L449" s="56" t="s">
        <v>84</v>
      </c>
      <c r="M449" s="143"/>
      <c r="N449" s="143"/>
      <c r="O449" s="36">
        <v>120.0</v>
      </c>
      <c r="P449" s="40" t="s">
        <v>518</v>
      </c>
      <c r="Q449" s="40" t="s">
        <v>586</v>
      </c>
      <c r="R449" s="23"/>
      <c r="S449" s="95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ht="15.75" customHeight="1">
      <c r="A450" s="24"/>
      <c r="B450" s="34">
        <v>26.0</v>
      </c>
      <c r="C450" s="230">
        <v>46122.0</v>
      </c>
      <c r="D450" s="143"/>
      <c r="E450" s="143"/>
      <c r="F450" s="143"/>
      <c r="G450" s="143"/>
      <c r="H450" s="36" t="s">
        <v>815</v>
      </c>
      <c r="I450" s="36" t="s">
        <v>815</v>
      </c>
      <c r="J450" s="36" t="s">
        <v>816</v>
      </c>
      <c r="K450" s="36"/>
      <c r="L450" s="56" t="s">
        <v>84</v>
      </c>
      <c r="M450" s="143"/>
      <c r="N450" s="143"/>
      <c r="O450" s="36">
        <v>43.0</v>
      </c>
      <c r="P450" s="40" t="s">
        <v>518</v>
      </c>
      <c r="Q450" s="40" t="s">
        <v>452</v>
      </c>
      <c r="R450" s="23"/>
      <c r="S450" s="95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ht="15.75" customHeight="1">
      <c r="A451" s="24"/>
      <c r="B451" s="34">
        <v>27.0</v>
      </c>
      <c r="C451" s="230">
        <v>46122.0</v>
      </c>
      <c r="D451" s="143"/>
      <c r="E451" s="143"/>
      <c r="F451" s="143"/>
      <c r="G451" s="143"/>
      <c r="H451" s="36" t="s">
        <v>815</v>
      </c>
      <c r="I451" s="36" t="s">
        <v>815</v>
      </c>
      <c r="J451" s="36" t="s">
        <v>817</v>
      </c>
      <c r="K451" s="36"/>
      <c r="L451" s="56" t="s">
        <v>84</v>
      </c>
      <c r="M451" s="143"/>
      <c r="N451" s="143"/>
      <c r="O451" s="36">
        <v>5.0</v>
      </c>
      <c r="P451" s="40" t="s">
        <v>518</v>
      </c>
      <c r="Q451" s="40" t="s">
        <v>586</v>
      </c>
      <c r="R451" s="23"/>
      <c r="S451" s="95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ht="17.25" customHeight="1">
      <c r="A452" s="24"/>
      <c r="B452" s="34">
        <v>28.0</v>
      </c>
      <c r="C452" s="230">
        <v>46122.0</v>
      </c>
      <c r="D452" s="36">
        <v>3.0</v>
      </c>
      <c r="E452" s="36" t="s">
        <v>67</v>
      </c>
      <c r="F452" s="36">
        <v>57.0</v>
      </c>
      <c r="G452" s="36">
        <v>9557798.0</v>
      </c>
      <c r="H452" s="36" t="s">
        <v>818</v>
      </c>
      <c r="I452" s="36" t="s">
        <v>819</v>
      </c>
      <c r="J452" s="36" t="s">
        <v>780</v>
      </c>
      <c r="K452" s="36"/>
      <c r="L452" s="56" t="s">
        <v>49</v>
      </c>
      <c r="M452" s="143"/>
      <c r="N452" s="143"/>
      <c r="O452" s="36">
        <v>197.0</v>
      </c>
      <c r="P452" s="40" t="s">
        <v>451</v>
      </c>
      <c r="Q452" s="40" t="s">
        <v>452</v>
      </c>
      <c r="R452" s="23"/>
      <c r="S452" s="195">
        <v>197.0</v>
      </c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ht="15.75" customHeight="1">
      <c r="A453" s="24"/>
      <c r="B453" s="34">
        <v>29.0</v>
      </c>
      <c r="C453" s="230">
        <v>46122.0</v>
      </c>
      <c r="D453" s="143"/>
      <c r="E453" s="143"/>
      <c r="F453" s="143"/>
      <c r="G453" s="143"/>
      <c r="H453" s="36" t="s">
        <v>820</v>
      </c>
      <c r="I453" s="36" t="s">
        <v>820</v>
      </c>
      <c r="J453" s="36" t="s">
        <v>821</v>
      </c>
      <c r="K453" s="36"/>
      <c r="L453" s="56" t="s">
        <v>49</v>
      </c>
      <c r="M453" s="143"/>
      <c r="N453" s="143"/>
      <c r="O453" s="36">
        <v>50.0</v>
      </c>
      <c r="P453" s="40" t="s">
        <v>451</v>
      </c>
      <c r="Q453" s="40" t="s">
        <v>586</v>
      </c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ht="15.75" customHeight="1">
      <c r="A454" s="24"/>
      <c r="B454" s="34">
        <v>30.0</v>
      </c>
      <c r="C454" s="230">
        <v>46122.0</v>
      </c>
      <c r="D454" s="143"/>
      <c r="E454" s="143"/>
      <c r="F454" s="143"/>
      <c r="G454" s="143"/>
      <c r="H454" s="36" t="s">
        <v>822</v>
      </c>
      <c r="I454" s="36" t="s">
        <v>822</v>
      </c>
      <c r="J454" s="36" t="s">
        <v>821</v>
      </c>
      <c r="K454" s="36"/>
      <c r="L454" s="56" t="s">
        <v>49</v>
      </c>
      <c r="M454" s="143"/>
      <c r="N454" s="143"/>
      <c r="O454" s="36">
        <v>45.0</v>
      </c>
      <c r="P454" s="40" t="s">
        <v>451</v>
      </c>
      <c r="Q454" s="40" t="s">
        <v>586</v>
      </c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ht="15.75" customHeight="1">
      <c r="A455" s="24"/>
      <c r="B455" s="34">
        <v>31.0</v>
      </c>
      <c r="C455" s="230">
        <v>46122.0</v>
      </c>
      <c r="D455" s="143"/>
      <c r="E455" s="143"/>
      <c r="F455" s="143"/>
      <c r="G455" s="143"/>
      <c r="H455" s="231" t="s">
        <v>642</v>
      </c>
      <c r="I455" s="232" t="s">
        <v>823</v>
      </c>
      <c r="J455" s="36" t="s">
        <v>780</v>
      </c>
      <c r="K455" s="36"/>
      <c r="L455" s="56" t="s">
        <v>49</v>
      </c>
      <c r="M455" s="143"/>
      <c r="N455" s="143"/>
      <c r="O455" s="36">
        <v>783.0</v>
      </c>
      <c r="P455" s="40" t="s">
        <v>451</v>
      </c>
      <c r="Q455" s="40" t="s">
        <v>452</v>
      </c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ht="15.0" customHeight="1">
      <c r="A456" s="24"/>
      <c r="B456" s="34">
        <v>32.0</v>
      </c>
      <c r="C456" s="230">
        <v>46122.0</v>
      </c>
      <c r="D456" s="143"/>
      <c r="E456" s="143"/>
      <c r="F456" s="143"/>
      <c r="G456" s="143"/>
      <c r="H456" s="231" t="s">
        <v>746</v>
      </c>
      <c r="I456" s="232" t="s">
        <v>747</v>
      </c>
      <c r="J456" s="36" t="s">
        <v>824</v>
      </c>
      <c r="K456" s="36"/>
      <c r="L456" s="56" t="s">
        <v>49</v>
      </c>
      <c r="M456" s="143"/>
      <c r="N456" s="143"/>
      <c r="O456" s="36">
        <v>300.0</v>
      </c>
      <c r="P456" s="40" t="s">
        <v>451</v>
      </c>
      <c r="Q456" s="40" t="s">
        <v>586</v>
      </c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ht="15.75" customHeight="1">
      <c r="A457" s="24"/>
      <c r="B457" s="34">
        <v>33.0</v>
      </c>
      <c r="C457" s="228">
        <v>46123.0</v>
      </c>
      <c r="D457" s="143"/>
      <c r="E457" s="143"/>
      <c r="F457" s="143"/>
      <c r="G457" s="143"/>
      <c r="H457" s="36" t="s">
        <v>825</v>
      </c>
      <c r="I457" s="192" t="s">
        <v>826</v>
      </c>
      <c r="J457" s="36" t="s">
        <v>780</v>
      </c>
      <c r="K457" s="36"/>
      <c r="L457" s="56" t="s">
        <v>49</v>
      </c>
      <c r="M457" s="143"/>
      <c r="N457" s="143"/>
      <c r="O457" s="36">
        <v>297.0</v>
      </c>
      <c r="P457" s="40" t="s">
        <v>451</v>
      </c>
      <c r="Q457" s="40" t="s">
        <v>452</v>
      </c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ht="15.75" customHeight="1">
      <c r="A458" s="24"/>
      <c r="B458" s="34">
        <v>34.0</v>
      </c>
      <c r="C458" s="228">
        <v>46123.0</v>
      </c>
      <c r="D458" s="143"/>
      <c r="E458" s="143"/>
      <c r="F458" s="143"/>
      <c r="G458" s="143"/>
      <c r="H458" s="36" t="s">
        <v>827</v>
      </c>
      <c r="I458" s="36" t="s">
        <v>828</v>
      </c>
      <c r="J458" s="36" t="s">
        <v>829</v>
      </c>
      <c r="K458" s="36"/>
      <c r="L458" s="56" t="s">
        <v>49</v>
      </c>
      <c r="M458" s="143"/>
      <c r="N458" s="143"/>
      <c r="O458" s="36">
        <v>100.0</v>
      </c>
      <c r="P458" s="40" t="s">
        <v>451</v>
      </c>
      <c r="Q458" s="40" t="s">
        <v>452</v>
      </c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ht="15.75" customHeight="1">
      <c r="A459" s="24"/>
      <c r="B459" s="34">
        <v>35.0</v>
      </c>
      <c r="C459" s="228">
        <v>46123.0</v>
      </c>
      <c r="D459" s="143"/>
      <c r="E459" s="143"/>
      <c r="F459" s="143"/>
      <c r="G459" s="143"/>
      <c r="H459" s="36" t="s">
        <v>830</v>
      </c>
      <c r="I459" s="36" t="s">
        <v>831</v>
      </c>
      <c r="J459" s="36" t="s">
        <v>780</v>
      </c>
      <c r="K459" s="36"/>
      <c r="L459" s="56" t="s">
        <v>49</v>
      </c>
      <c r="M459" s="143"/>
      <c r="N459" s="143"/>
      <c r="O459" s="36">
        <v>881.2</v>
      </c>
      <c r="P459" s="40" t="s">
        <v>462</v>
      </c>
      <c r="Q459" s="40" t="s">
        <v>253</v>
      </c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ht="15.0" customHeight="1">
      <c r="A460" s="24"/>
      <c r="B460" s="34">
        <v>36.0</v>
      </c>
      <c r="C460" s="228">
        <v>46123.0</v>
      </c>
      <c r="D460" s="143"/>
      <c r="E460" s="143"/>
      <c r="F460" s="143"/>
      <c r="G460" s="143"/>
      <c r="H460" s="36" t="s">
        <v>832</v>
      </c>
      <c r="I460" s="36" t="s">
        <v>833</v>
      </c>
      <c r="J460" s="36" t="s">
        <v>834</v>
      </c>
      <c r="K460" s="36"/>
      <c r="L460" s="56" t="s">
        <v>49</v>
      </c>
      <c r="M460" s="143"/>
      <c r="N460" s="143"/>
      <c r="O460" s="36">
        <v>478.5</v>
      </c>
      <c r="P460" s="40" t="s">
        <v>518</v>
      </c>
      <c r="Q460" s="40" t="s">
        <v>452</v>
      </c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ht="15.75" customHeight="1">
      <c r="A461" s="24"/>
      <c r="B461" s="34">
        <v>37.0</v>
      </c>
      <c r="C461" s="233">
        <v>46125.0</v>
      </c>
      <c r="D461" s="143"/>
      <c r="E461" s="143"/>
      <c r="F461" s="143"/>
      <c r="G461" s="143"/>
      <c r="H461" s="36" t="s">
        <v>835</v>
      </c>
      <c r="I461" s="36" t="s">
        <v>836</v>
      </c>
      <c r="J461" s="36" t="s">
        <v>780</v>
      </c>
      <c r="K461" s="36"/>
      <c r="L461" s="56" t="s">
        <v>49</v>
      </c>
      <c r="M461" s="143"/>
      <c r="N461" s="143"/>
      <c r="O461" s="36">
        <v>394.0</v>
      </c>
      <c r="P461" s="40" t="s">
        <v>518</v>
      </c>
      <c r="Q461" s="40" t="s">
        <v>452</v>
      </c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ht="15.75" customHeight="1">
      <c r="A462" s="24"/>
      <c r="B462" s="34">
        <v>38.0</v>
      </c>
      <c r="C462" s="233">
        <v>46125.0</v>
      </c>
      <c r="D462" s="143"/>
      <c r="E462" s="143"/>
      <c r="F462" s="143"/>
      <c r="G462" s="143"/>
      <c r="H462" s="36" t="s">
        <v>837</v>
      </c>
      <c r="I462" s="36" t="s">
        <v>629</v>
      </c>
      <c r="J462" s="36" t="s">
        <v>838</v>
      </c>
      <c r="K462" s="36"/>
      <c r="L462" s="56" t="s">
        <v>84</v>
      </c>
      <c r="M462" s="143"/>
      <c r="N462" s="143"/>
      <c r="O462" s="36">
        <v>90.0</v>
      </c>
      <c r="P462" s="40" t="s">
        <v>462</v>
      </c>
      <c r="Q462" s="40" t="s">
        <v>452</v>
      </c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ht="15.0" customHeight="1">
      <c r="A463" s="24"/>
      <c r="B463" s="34">
        <v>39.0</v>
      </c>
      <c r="C463" s="233">
        <v>46125.0</v>
      </c>
      <c r="D463" s="143"/>
      <c r="E463" s="143"/>
      <c r="F463" s="143"/>
      <c r="G463" s="143"/>
      <c r="H463" s="36" t="s">
        <v>839</v>
      </c>
      <c r="I463" s="36" t="s">
        <v>840</v>
      </c>
      <c r="J463" s="36" t="s">
        <v>841</v>
      </c>
      <c r="K463" s="36"/>
      <c r="L463" s="56" t="s">
        <v>84</v>
      </c>
      <c r="M463" s="143"/>
      <c r="N463" s="143"/>
      <c r="O463" s="36">
        <v>150.0</v>
      </c>
      <c r="P463" s="40" t="s">
        <v>462</v>
      </c>
      <c r="Q463" s="40" t="s">
        <v>452</v>
      </c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ht="17.25" customHeight="1">
      <c r="A464" s="24"/>
      <c r="B464" s="34">
        <v>40.0</v>
      </c>
      <c r="C464" s="234">
        <v>46126.0</v>
      </c>
      <c r="D464" s="143"/>
      <c r="E464" s="143"/>
      <c r="F464" s="143"/>
      <c r="G464" s="143"/>
      <c r="H464" s="36" t="s">
        <v>818</v>
      </c>
      <c r="I464" s="36" t="s">
        <v>842</v>
      </c>
      <c r="J464" s="36" t="s">
        <v>843</v>
      </c>
      <c r="K464" s="36"/>
      <c r="L464" s="56" t="s">
        <v>49</v>
      </c>
      <c r="M464" s="143"/>
      <c r="N464" s="143"/>
      <c r="O464" s="36">
        <v>67.0</v>
      </c>
      <c r="P464" s="40" t="s">
        <v>451</v>
      </c>
      <c r="Q464" s="40" t="s">
        <v>452</v>
      </c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ht="15.75" customHeight="1">
      <c r="A465" s="24"/>
      <c r="B465" s="34">
        <v>41.0</v>
      </c>
      <c r="C465" s="234">
        <v>46126.0</v>
      </c>
      <c r="D465" s="143"/>
      <c r="E465" s="143"/>
      <c r="F465" s="143"/>
      <c r="G465" s="143"/>
      <c r="H465" s="36" t="s">
        <v>844</v>
      </c>
      <c r="I465" s="36" t="s">
        <v>845</v>
      </c>
      <c r="J465" s="36" t="s">
        <v>780</v>
      </c>
      <c r="K465" s="36"/>
      <c r="L465" s="56" t="s">
        <v>49</v>
      </c>
      <c r="M465" s="143"/>
      <c r="N465" s="143"/>
      <c r="O465" s="208" t="s">
        <v>846</v>
      </c>
      <c r="P465" s="40" t="s">
        <v>518</v>
      </c>
      <c r="Q465" s="40" t="s">
        <v>631</v>
      </c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ht="15.75" customHeight="1">
      <c r="A466" s="24"/>
      <c r="B466" s="34">
        <v>42.0</v>
      </c>
      <c r="C466" s="234">
        <v>46126.0</v>
      </c>
      <c r="D466" s="143"/>
      <c r="E466" s="143"/>
      <c r="F466" s="143"/>
      <c r="G466" s="143"/>
      <c r="H466" s="36" t="s">
        <v>847</v>
      </c>
      <c r="I466" s="36" t="s">
        <v>847</v>
      </c>
      <c r="J466" s="36" t="s">
        <v>848</v>
      </c>
      <c r="K466" s="36"/>
      <c r="L466" s="56" t="s">
        <v>84</v>
      </c>
      <c r="M466" s="143"/>
      <c r="N466" s="143"/>
      <c r="O466" s="36">
        <v>45.0</v>
      </c>
      <c r="P466" s="40" t="s">
        <v>518</v>
      </c>
      <c r="Q466" s="40" t="s">
        <v>452</v>
      </c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ht="13.5" customHeight="1">
      <c r="A467" s="24"/>
      <c r="B467" s="34">
        <v>43.0</v>
      </c>
      <c r="C467" s="234">
        <v>46127.0</v>
      </c>
      <c r="D467" s="36">
        <v>3.0</v>
      </c>
      <c r="E467" s="36" t="s">
        <v>67</v>
      </c>
      <c r="F467" s="36">
        <v>58.0</v>
      </c>
      <c r="G467" s="36">
        <v>4.0029707E7</v>
      </c>
      <c r="H467" s="36" t="s">
        <v>849</v>
      </c>
      <c r="I467" s="36" t="s">
        <v>850</v>
      </c>
      <c r="J467" s="36" t="s">
        <v>780</v>
      </c>
      <c r="K467" s="36"/>
      <c r="L467" s="56" t="s">
        <v>49</v>
      </c>
      <c r="M467" s="143"/>
      <c r="N467" s="143"/>
      <c r="O467" s="36">
        <v>197.0</v>
      </c>
      <c r="P467" s="40" t="s">
        <v>518</v>
      </c>
      <c r="Q467" s="40" t="s">
        <v>452</v>
      </c>
      <c r="R467" s="23"/>
      <c r="S467" s="195">
        <v>197.0</v>
      </c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ht="15.75" customHeight="1">
      <c r="A468" s="24"/>
      <c r="B468" s="34">
        <v>44.0</v>
      </c>
      <c r="C468" s="234">
        <v>46127.0</v>
      </c>
      <c r="D468" s="143"/>
      <c r="E468" s="143"/>
      <c r="F468" s="143"/>
      <c r="G468" s="143"/>
      <c r="H468" s="36" t="s">
        <v>832</v>
      </c>
      <c r="I468" s="36" t="s">
        <v>851</v>
      </c>
      <c r="J468" s="36" t="s">
        <v>780</v>
      </c>
      <c r="K468" s="36"/>
      <c r="L468" s="56" t="s">
        <v>49</v>
      </c>
      <c r="M468" s="143"/>
      <c r="N468" s="143"/>
      <c r="O468" s="36">
        <v>328.0</v>
      </c>
      <c r="P468" s="40" t="s">
        <v>451</v>
      </c>
      <c r="Q468" s="40" t="s">
        <v>452</v>
      </c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ht="15.75" customHeight="1">
      <c r="A469" s="24"/>
      <c r="B469" s="34">
        <v>45.0</v>
      </c>
      <c r="C469" s="235">
        <v>46129.0</v>
      </c>
      <c r="D469" s="143"/>
      <c r="E469" s="143"/>
      <c r="F469" s="143"/>
      <c r="G469" s="143"/>
      <c r="H469" s="121" t="s">
        <v>757</v>
      </c>
      <c r="I469" s="36" t="s">
        <v>757</v>
      </c>
      <c r="J469" s="36" t="s">
        <v>710</v>
      </c>
      <c r="K469" s="36"/>
      <c r="L469" s="56" t="s">
        <v>49</v>
      </c>
      <c r="M469" s="143"/>
      <c r="N469" s="143"/>
      <c r="O469" s="36">
        <v>45.0</v>
      </c>
      <c r="P469" s="40" t="s">
        <v>451</v>
      </c>
      <c r="Q469" s="40" t="s">
        <v>586</v>
      </c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ht="15.75" customHeight="1">
      <c r="A470" s="24"/>
      <c r="B470" s="34">
        <v>46.0</v>
      </c>
      <c r="C470" s="235">
        <v>46129.0</v>
      </c>
      <c r="D470" s="143"/>
      <c r="E470" s="143"/>
      <c r="F470" s="143"/>
      <c r="G470" s="143"/>
      <c r="H470" s="36" t="s">
        <v>852</v>
      </c>
      <c r="I470" s="36" t="s">
        <v>853</v>
      </c>
      <c r="J470" s="36" t="s">
        <v>854</v>
      </c>
      <c r="K470" s="36"/>
      <c r="L470" s="56" t="s">
        <v>84</v>
      </c>
      <c r="M470" s="143"/>
      <c r="N470" s="143"/>
      <c r="O470" s="36">
        <v>600.0</v>
      </c>
      <c r="P470" s="40" t="s">
        <v>518</v>
      </c>
      <c r="Q470" s="40" t="s">
        <v>452</v>
      </c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ht="15.75" customHeight="1">
      <c r="A471" s="24"/>
      <c r="B471" s="34">
        <v>47.0</v>
      </c>
      <c r="C471" s="235">
        <v>46129.0</v>
      </c>
      <c r="D471" s="143"/>
      <c r="E471" s="143"/>
      <c r="F471" s="143"/>
      <c r="G471" s="143"/>
      <c r="H471" s="36" t="s">
        <v>855</v>
      </c>
      <c r="I471" s="36" t="s">
        <v>856</v>
      </c>
      <c r="J471" s="36" t="s">
        <v>857</v>
      </c>
      <c r="K471" s="36"/>
      <c r="L471" s="56" t="s">
        <v>49</v>
      </c>
      <c r="M471" s="143"/>
      <c r="N471" s="143"/>
      <c r="O471" s="36">
        <v>183.0</v>
      </c>
      <c r="P471" s="40" t="s">
        <v>451</v>
      </c>
      <c r="Q471" s="40" t="s">
        <v>452</v>
      </c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ht="15.75" customHeight="1">
      <c r="A472" s="24"/>
      <c r="B472" s="34">
        <v>48.0</v>
      </c>
      <c r="C472" s="236">
        <v>46130.0</v>
      </c>
      <c r="D472" s="143"/>
      <c r="E472" s="143"/>
      <c r="F472" s="143"/>
      <c r="G472" s="143"/>
      <c r="H472" s="36" t="s">
        <v>858</v>
      </c>
      <c r="I472" s="36" t="s">
        <v>859</v>
      </c>
      <c r="J472" s="36" t="s">
        <v>780</v>
      </c>
      <c r="K472" s="36"/>
      <c r="L472" s="56" t="s">
        <v>49</v>
      </c>
      <c r="M472" s="143"/>
      <c r="N472" s="143"/>
      <c r="O472" s="36">
        <v>394.0</v>
      </c>
      <c r="P472" s="40" t="s">
        <v>451</v>
      </c>
      <c r="Q472" s="40" t="s">
        <v>452</v>
      </c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ht="15.75" customHeight="1">
      <c r="A473" s="24"/>
      <c r="B473" s="34">
        <v>49.0</v>
      </c>
      <c r="C473" s="236">
        <v>46130.0</v>
      </c>
      <c r="D473" s="143"/>
      <c r="E473" s="143"/>
      <c r="F473" s="143"/>
      <c r="G473" s="143"/>
      <c r="H473" s="168" t="s">
        <v>860</v>
      </c>
      <c r="I473" s="237" t="s">
        <v>861</v>
      </c>
      <c r="J473" s="36" t="s">
        <v>780</v>
      </c>
      <c r="K473" s="36"/>
      <c r="L473" s="56" t="s">
        <v>49</v>
      </c>
      <c r="M473" s="143"/>
      <c r="N473" s="143"/>
      <c r="O473" s="36">
        <v>394.0</v>
      </c>
      <c r="P473" s="40" t="s">
        <v>451</v>
      </c>
      <c r="Q473" s="40" t="s">
        <v>586</v>
      </c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ht="15.75" customHeight="1">
      <c r="A474" s="24"/>
      <c r="B474" s="34">
        <v>50.0</v>
      </c>
      <c r="C474" s="236">
        <v>46130.0</v>
      </c>
      <c r="D474" s="143"/>
      <c r="E474" s="143"/>
      <c r="F474" s="143"/>
      <c r="G474" s="143"/>
      <c r="H474" s="36" t="s">
        <v>862</v>
      </c>
      <c r="I474" s="226" t="s">
        <v>361</v>
      </c>
      <c r="J474" s="36" t="s">
        <v>780</v>
      </c>
      <c r="K474" s="36"/>
      <c r="L474" s="56" t="s">
        <v>49</v>
      </c>
      <c r="M474" s="143"/>
      <c r="N474" s="143"/>
      <c r="O474" s="36">
        <v>297.0</v>
      </c>
      <c r="P474" s="40" t="s">
        <v>451</v>
      </c>
      <c r="Q474" s="40" t="s">
        <v>253</v>
      </c>
      <c r="R474" s="237" t="s">
        <v>714</v>
      </c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ht="15.75" customHeight="1">
      <c r="A475" s="24"/>
      <c r="B475" s="34">
        <v>51.0</v>
      </c>
      <c r="C475" s="236">
        <v>46130.0</v>
      </c>
      <c r="D475" s="143"/>
      <c r="E475" s="143"/>
      <c r="F475" s="143"/>
      <c r="G475" s="143"/>
      <c r="H475" s="36" t="s">
        <v>863</v>
      </c>
      <c r="I475" s="36" t="s">
        <v>864</v>
      </c>
      <c r="J475" s="36" t="s">
        <v>780</v>
      </c>
      <c r="K475" s="36"/>
      <c r="L475" s="56" t="s">
        <v>49</v>
      </c>
      <c r="M475" s="143"/>
      <c r="N475" s="143"/>
      <c r="O475" s="36">
        <v>30.0</v>
      </c>
      <c r="P475" s="40" t="s">
        <v>451</v>
      </c>
      <c r="Q475" s="40" t="s">
        <v>452</v>
      </c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ht="15.0" customHeight="1">
      <c r="A476" s="24"/>
      <c r="B476" s="34">
        <v>52.0</v>
      </c>
      <c r="C476" s="236">
        <v>46130.0</v>
      </c>
      <c r="D476" s="143"/>
      <c r="E476" s="143"/>
      <c r="F476" s="143"/>
      <c r="G476" s="143"/>
      <c r="H476" s="36" t="s">
        <v>865</v>
      </c>
      <c r="I476" s="36" t="s">
        <v>866</v>
      </c>
      <c r="J476" s="36" t="s">
        <v>867</v>
      </c>
      <c r="K476" s="36"/>
      <c r="L476" s="56" t="s">
        <v>49</v>
      </c>
      <c r="M476" s="143"/>
      <c r="N476" s="143"/>
      <c r="O476" s="36">
        <v>97.0</v>
      </c>
      <c r="P476" s="40" t="s">
        <v>451</v>
      </c>
      <c r="Q476" s="40" t="s">
        <v>586</v>
      </c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ht="15.75" customHeight="1">
      <c r="A477" s="24"/>
      <c r="B477" s="34">
        <v>53.0</v>
      </c>
      <c r="C477" s="236">
        <v>46130.0</v>
      </c>
      <c r="D477" s="143"/>
      <c r="E477" s="143"/>
      <c r="F477" s="143"/>
      <c r="G477" s="143"/>
      <c r="H477" s="36" t="s">
        <v>505</v>
      </c>
      <c r="I477" s="36" t="s">
        <v>505</v>
      </c>
      <c r="J477" s="36" t="s">
        <v>868</v>
      </c>
      <c r="K477" s="36"/>
      <c r="L477" s="56" t="s">
        <v>84</v>
      </c>
      <c r="M477" s="143"/>
      <c r="N477" s="143"/>
      <c r="O477" s="36">
        <v>14.0</v>
      </c>
      <c r="P477" s="40" t="s">
        <v>451</v>
      </c>
      <c r="Q477" s="40" t="s">
        <v>586</v>
      </c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ht="15.75" customHeight="1">
      <c r="A478" s="24"/>
      <c r="B478" s="34">
        <v>54.0</v>
      </c>
      <c r="C478" s="236">
        <v>46130.0</v>
      </c>
      <c r="D478" s="143"/>
      <c r="E478" s="143"/>
      <c r="F478" s="143"/>
      <c r="G478" s="143"/>
      <c r="H478" s="36" t="s">
        <v>862</v>
      </c>
      <c r="I478" s="36" t="s">
        <v>862</v>
      </c>
      <c r="J478" s="36" t="s">
        <v>869</v>
      </c>
      <c r="K478" s="36"/>
      <c r="L478" s="56" t="s">
        <v>49</v>
      </c>
      <c r="M478" s="143"/>
      <c r="N478" s="143"/>
      <c r="O478" s="36">
        <v>40.0</v>
      </c>
      <c r="P478" s="40" t="s">
        <v>518</v>
      </c>
      <c r="Q478" s="40" t="s">
        <v>586</v>
      </c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ht="15.75" customHeight="1">
      <c r="A479" s="24"/>
      <c r="B479" s="34">
        <v>55.0</v>
      </c>
      <c r="C479" s="238">
        <v>46132.0</v>
      </c>
      <c r="D479" s="36">
        <v>3.0</v>
      </c>
      <c r="E479" s="36" t="s">
        <v>67</v>
      </c>
      <c r="F479" s="36">
        <v>59.0</v>
      </c>
      <c r="G479" s="36">
        <v>4.9100344E7</v>
      </c>
      <c r="H479" s="36" t="s">
        <v>870</v>
      </c>
      <c r="I479" s="36" t="s">
        <v>871</v>
      </c>
      <c r="J479" s="36" t="s">
        <v>872</v>
      </c>
      <c r="K479" s="36"/>
      <c r="L479" s="56" t="s">
        <v>49</v>
      </c>
      <c r="M479" s="143"/>
      <c r="N479" s="143"/>
      <c r="O479" s="36">
        <v>327.0</v>
      </c>
      <c r="P479" s="40" t="s">
        <v>451</v>
      </c>
      <c r="Q479" s="40" t="s">
        <v>452</v>
      </c>
      <c r="R479" s="23"/>
      <c r="S479" s="195">
        <v>327.0</v>
      </c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ht="18.0" customHeight="1">
      <c r="A480" s="24"/>
      <c r="B480" s="34">
        <v>56.0</v>
      </c>
      <c r="C480" s="238">
        <v>46132.0</v>
      </c>
      <c r="D480" s="143"/>
      <c r="E480" s="143"/>
      <c r="F480" s="143"/>
      <c r="G480" s="143"/>
      <c r="H480" s="36" t="s">
        <v>873</v>
      </c>
      <c r="I480" s="218" t="s">
        <v>777</v>
      </c>
      <c r="J480" s="36" t="s">
        <v>780</v>
      </c>
      <c r="K480" s="36"/>
      <c r="L480" s="56" t="s">
        <v>49</v>
      </c>
      <c r="M480" s="143"/>
      <c r="N480" s="143"/>
      <c r="O480" s="36">
        <v>197.0</v>
      </c>
      <c r="P480" s="40" t="s">
        <v>451</v>
      </c>
      <c r="Q480" s="40" t="s">
        <v>452</v>
      </c>
      <c r="R480" s="23"/>
      <c r="S480" s="95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ht="15.75" customHeight="1">
      <c r="A481" s="24"/>
      <c r="B481" s="34">
        <v>57.0</v>
      </c>
      <c r="C481" s="238">
        <v>46132.0</v>
      </c>
      <c r="D481" s="143"/>
      <c r="E481" s="143"/>
      <c r="F481" s="143"/>
      <c r="G481" s="143"/>
      <c r="H481" s="218" t="s">
        <v>736</v>
      </c>
      <c r="I481" s="36" t="s">
        <v>874</v>
      </c>
      <c r="J481" s="36" t="s">
        <v>780</v>
      </c>
      <c r="K481" s="36"/>
      <c r="L481" s="56" t="s">
        <v>49</v>
      </c>
      <c r="M481" s="143"/>
      <c r="N481" s="143"/>
      <c r="O481" s="36">
        <v>197.0</v>
      </c>
      <c r="P481" s="40" t="s">
        <v>451</v>
      </c>
      <c r="Q481" s="40" t="s">
        <v>253</v>
      </c>
      <c r="R481" s="23"/>
      <c r="S481" s="95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ht="15.75" customHeight="1">
      <c r="A482" s="24"/>
      <c r="B482" s="34">
        <v>58.0</v>
      </c>
      <c r="C482" s="239">
        <v>46133.0</v>
      </c>
      <c r="D482" s="143"/>
      <c r="E482" s="143"/>
      <c r="F482" s="143"/>
      <c r="G482" s="36"/>
      <c r="H482" s="36" t="s">
        <v>674</v>
      </c>
      <c r="I482" s="36" t="s">
        <v>875</v>
      </c>
      <c r="J482" s="36" t="s">
        <v>876</v>
      </c>
      <c r="K482" s="36"/>
      <c r="L482" s="56" t="s">
        <v>49</v>
      </c>
      <c r="M482" s="143"/>
      <c r="N482" s="143"/>
      <c r="O482" s="36">
        <v>75.0</v>
      </c>
      <c r="P482" s="40" t="s">
        <v>451</v>
      </c>
      <c r="Q482" s="40" t="s">
        <v>586</v>
      </c>
      <c r="R482" s="23"/>
      <c r="S482" s="95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ht="15.75" customHeight="1">
      <c r="A483" s="24"/>
      <c r="B483" s="34">
        <v>59.0</v>
      </c>
      <c r="C483" s="239">
        <v>46133.0</v>
      </c>
      <c r="D483" s="36">
        <v>3.0</v>
      </c>
      <c r="E483" s="36" t="s">
        <v>67</v>
      </c>
      <c r="F483" s="36">
        <v>60.0</v>
      </c>
      <c r="G483" s="36">
        <v>1.0662948E7</v>
      </c>
      <c r="H483" s="240" t="s">
        <v>877</v>
      </c>
      <c r="I483" s="36" t="s">
        <v>878</v>
      </c>
      <c r="J483" s="36" t="s">
        <v>780</v>
      </c>
      <c r="K483" s="36"/>
      <c r="L483" s="56" t="s">
        <v>49</v>
      </c>
      <c r="M483" s="143"/>
      <c r="N483" s="143"/>
      <c r="O483" s="36">
        <v>197.0</v>
      </c>
      <c r="P483" s="40" t="s">
        <v>451</v>
      </c>
      <c r="Q483" s="40" t="s">
        <v>586</v>
      </c>
      <c r="R483" s="23"/>
      <c r="S483" s="195">
        <v>197.0</v>
      </c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ht="15.75" customHeight="1">
      <c r="A484" s="24"/>
      <c r="B484" s="34">
        <v>60.0</v>
      </c>
      <c r="C484" s="239">
        <v>46133.0</v>
      </c>
      <c r="D484" s="143"/>
      <c r="E484" s="143"/>
      <c r="F484" s="143"/>
      <c r="G484" s="36"/>
      <c r="H484" s="241" t="s">
        <v>879</v>
      </c>
      <c r="I484" s="242" t="s">
        <v>880</v>
      </c>
      <c r="J484" s="36" t="s">
        <v>780</v>
      </c>
      <c r="K484" s="36"/>
      <c r="L484" s="56" t="s">
        <v>49</v>
      </c>
      <c r="M484" s="143"/>
      <c r="N484" s="143"/>
      <c r="O484" s="36">
        <v>329.0</v>
      </c>
      <c r="P484" s="40" t="s">
        <v>451</v>
      </c>
      <c r="Q484" s="40" t="s">
        <v>586</v>
      </c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ht="15.75" customHeight="1">
      <c r="A485" s="24"/>
      <c r="B485" s="34">
        <v>61.0</v>
      </c>
      <c r="C485" s="239">
        <v>46133.0</v>
      </c>
      <c r="D485" s="143"/>
      <c r="E485" s="143"/>
      <c r="F485" s="143"/>
      <c r="G485" s="36"/>
      <c r="H485" s="243" t="s">
        <v>707</v>
      </c>
      <c r="I485" s="237" t="s">
        <v>708</v>
      </c>
      <c r="J485" s="36" t="s">
        <v>780</v>
      </c>
      <c r="K485" s="36"/>
      <c r="L485" s="56" t="s">
        <v>49</v>
      </c>
      <c r="M485" s="143"/>
      <c r="N485" s="143"/>
      <c r="O485" s="36">
        <v>297.0</v>
      </c>
      <c r="P485" s="40" t="s">
        <v>451</v>
      </c>
      <c r="Q485" s="40" t="s">
        <v>253</v>
      </c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ht="15.75" customHeight="1">
      <c r="A486" s="24"/>
      <c r="B486" s="34">
        <v>62.0</v>
      </c>
      <c r="C486" s="244">
        <v>46136.0</v>
      </c>
      <c r="D486" s="143"/>
      <c r="E486" s="143"/>
      <c r="F486" s="143"/>
      <c r="G486" s="36"/>
      <c r="H486" s="36" t="s">
        <v>881</v>
      </c>
      <c r="I486" s="245" t="s">
        <v>882</v>
      </c>
      <c r="J486" s="36" t="s">
        <v>780</v>
      </c>
      <c r="K486" s="36"/>
      <c r="L486" s="56" t="s">
        <v>49</v>
      </c>
      <c r="M486" s="143"/>
      <c r="N486" s="143"/>
      <c r="O486" s="36">
        <v>329.0</v>
      </c>
      <c r="P486" s="40" t="s">
        <v>451</v>
      </c>
      <c r="Q486" s="40" t="s">
        <v>452</v>
      </c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ht="15.75" customHeight="1">
      <c r="A487" s="24"/>
      <c r="B487" s="34">
        <v>63.0</v>
      </c>
      <c r="C487" s="244">
        <v>46136.0</v>
      </c>
      <c r="D487" s="143"/>
      <c r="E487" s="143"/>
      <c r="F487" s="143"/>
      <c r="G487" s="36"/>
      <c r="H487" s="36" t="s">
        <v>883</v>
      </c>
      <c r="I487" s="36" t="s">
        <v>884</v>
      </c>
      <c r="J487" s="36" t="s">
        <v>885</v>
      </c>
      <c r="K487" s="36"/>
      <c r="L487" s="56" t="s">
        <v>84</v>
      </c>
      <c r="M487" s="143"/>
      <c r="N487" s="143"/>
      <c r="O487" s="36">
        <f>290+2+40</f>
        <v>332</v>
      </c>
      <c r="P487" s="40" t="s">
        <v>518</v>
      </c>
      <c r="Q487" s="40" t="s">
        <v>586</v>
      </c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ht="15.75" customHeight="1">
      <c r="A488" s="24"/>
      <c r="B488" s="34">
        <v>64.0</v>
      </c>
      <c r="C488" s="244">
        <v>46136.0</v>
      </c>
      <c r="D488" s="143"/>
      <c r="E488" s="143"/>
      <c r="F488" s="143"/>
      <c r="G488" s="36"/>
      <c r="H488" s="36" t="s">
        <v>886</v>
      </c>
      <c r="I488" s="36" t="s">
        <v>884</v>
      </c>
      <c r="J488" s="36" t="s">
        <v>887</v>
      </c>
      <c r="K488" s="36"/>
      <c r="L488" s="56" t="s">
        <v>84</v>
      </c>
      <c r="M488" s="143"/>
      <c r="N488" s="143"/>
      <c r="O488" s="36">
        <v>5.0</v>
      </c>
      <c r="P488" s="40" t="s">
        <v>518</v>
      </c>
      <c r="Q488" s="40" t="s">
        <v>586</v>
      </c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ht="15.75" customHeight="1">
      <c r="A489" s="24"/>
      <c r="B489" s="34">
        <v>65.0</v>
      </c>
      <c r="C489" s="244">
        <v>46136.0</v>
      </c>
      <c r="D489" s="36">
        <v>3.0</v>
      </c>
      <c r="E489" s="36" t="s">
        <v>67</v>
      </c>
      <c r="F489" s="36">
        <v>61.0</v>
      </c>
      <c r="G489" s="36">
        <v>7.1699052E7</v>
      </c>
      <c r="H489" s="36" t="s">
        <v>888</v>
      </c>
      <c r="I489" s="36" t="s">
        <v>888</v>
      </c>
      <c r="J489" s="36" t="s">
        <v>889</v>
      </c>
      <c r="K489" s="36"/>
      <c r="L489" s="56" t="s">
        <v>49</v>
      </c>
      <c r="M489" s="143"/>
      <c r="N489" s="143"/>
      <c r="O489" s="36">
        <v>394.0</v>
      </c>
      <c r="P489" s="40" t="s">
        <v>518</v>
      </c>
      <c r="Q489" s="40" t="s">
        <v>253</v>
      </c>
      <c r="R489" s="23"/>
      <c r="S489" s="60">
        <v>394.0</v>
      </c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ht="15.75" customHeight="1">
      <c r="A490" s="24"/>
      <c r="B490" s="34">
        <v>66.0</v>
      </c>
      <c r="C490" s="246">
        <v>46137.0</v>
      </c>
      <c r="D490" s="36">
        <v>3.0</v>
      </c>
      <c r="E490" s="36" t="s">
        <v>67</v>
      </c>
      <c r="F490" s="36">
        <v>62.0</v>
      </c>
      <c r="G490" s="36">
        <v>4.575954E7</v>
      </c>
      <c r="H490" s="36" t="s">
        <v>890</v>
      </c>
      <c r="I490" s="247" t="s">
        <v>891</v>
      </c>
      <c r="J490" s="36" t="s">
        <v>780</v>
      </c>
      <c r="K490" s="36"/>
      <c r="L490" s="56" t="s">
        <v>49</v>
      </c>
      <c r="M490" s="143"/>
      <c r="N490" s="143"/>
      <c r="O490" s="36">
        <v>197.0</v>
      </c>
      <c r="P490" s="40" t="s">
        <v>451</v>
      </c>
      <c r="Q490" s="40" t="s">
        <v>802</v>
      </c>
      <c r="R490" s="23"/>
      <c r="S490" s="60">
        <v>197.0</v>
      </c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ht="15.75" customHeight="1">
      <c r="A491" s="24"/>
      <c r="B491" s="34">
        <v>67.0</v>
      </c>
      <c r="C491" s="246">
        <v>46137.0</v>
      </c>
      <c r="D491" s="143"/>
      <c r="E491" s="143"/>
      <c r="F491" s="143"/>
      <c r="G491" s="143"/>
      <c r="H491" s="36" t="s">
        <v>646</v>
      </c>
      <c r="I491" s="248" t="s">
        <v>647</v>
      </c>
      <c r="J491" s="36" t="s">
        <v>780</v>
      </c>
      <c r="K491" s="36"/>
      <c r="L491" s="56" t="s">
        <v>49</v>
      </c>
      <c r="M491" s="143"/>
      <c r="N491" s="143"/>
      <c r="O491" s="36">
        <v>297.0</v>
      </c>
      <c r="P491" s="40" t="s">
        <v>451</v>
      </c>
      <c r="Q491" s="40" t="s">
        <v>802</v>
      </c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ht="15.75" customHeight="1">
      <c r="A492" s="24"/>
      <c r="B492" s="34">
        <v>68.0</v>
      </c>
      <c r="C492" s="249">
        <v>46139.0</v>
      </c>
      <c r="D492" s="143"/>
      <c r="E492" s="143"/>
      <c r="F492" s="143"/>
      <c r="G492" s="143"/>
      <c r="H492" s="36" t="s">
        <v>187</v>
      </c>
      <c r="I492" s="36" t="s">
        <v>892</v>
      </c>
      <c r="J492" s="36" t="s">
        <v>780</v>
      </c>
      <c r="K492" s="36"/>
      <c r="L492" s="56" t="s">
        <v>49</v>
      </c>
      <c r="M492" s="143"/>
      <c r="N492" s="143"/>
      <c r="O492" s="36">
        <v>297.0</v>
      </c>
      <c r="P492" s="40" t="s">
        <v>451</v>
      </c>
      <c r="Q492" s="40" t="s">
        <v>586</v>
      </c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ht="15.75" customHeight="1">
      <c r="A493" s="24"/>
      <c r="B493" s="34">
        <v>69.0</v>
      </c>
      <c r="C493" s="249">
        <v>46139.0</v>
      </c>
      <c r="D493" s="143"/>
      <c r="E493" s="143"/>
      <c r="F493" s="143"/>
      <c r="G493" s="143"/>
      <c r="H493" s="36" t="s">
        <v>893</v>
      </c>
      <c r="I493" s="36" t="s">
        <v>884</v>
      </c>
      <c r="J493" s="36" t="s">
        <v>894</v>
      </c>
      <c r="K493" s="36"/>
      <c r="L493" s="56" t="s">
        <v>84</v>
      </c>
      <c r="M493" s="143"/>
      <c r="N493" s="143"/>
      <c r="O493" s="36">
        <v>19.0</v>
      </c>
      <c r="P493" s="40" t="s">
        <v>462</v>
      </c>
      <c r="Q493" s="40" t="s">
        <v>631</v>
      </c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ht="15.75" customHeight="1">
      <c r="A494" s="24"/>
      <c r="B494" s="34">
        <v>70.0</v>
      </c>
      <c r="C494" s="250">
        <v>46140.0</v>
      </c>
      <c r="D494" s="143"/>
      <c r="E494" s="143"/>
      <c r="F494" s="143"/>
      <c r="G494" s="143"/>
      <c r="H494" s="251" t="s">
        <v>674</v>
      </c>
      <c r="I494" s="36" t="s">
        <v>895</v>
      </c>
      <c r="J494" s="36" t="s">
        <v>896</v>
      </c>
      <c r="K494" s="36"/>
      <c r="L494" s="56" t="s">
        <v>49</v>
      </c>
      <c r="M494" s="143"/>
      <c r="N494" s="143"/>
      <c r="O494" s="36">
        <v>40.0</v>
      </c>
      <c r="P494" s="40" t="s">
        <v>451</v>
      </c>
      <c r="Q494" s="40" t="s">
        <v>586</v>
      </c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ht="15.75" customHeight="1">
      <c r="A495" s="24"/>
      <c r="B495" s="34">
        <v>71.0</v>
      </c>
      <c r="C495" s="250">
        <v>46140.0</v>
      </c>
      <c r="D495" s="36">
        <v>3.0</v>
      </c>
      <c r="E495" s="36" t="s">
        <v>67</v>
      </c>
      <c r="F495" s="36">
        <v>63.0</v>
      </c>
      <c r="G495" s="36">
        <v>7.6419758E7</v>
      </c>
      <c r="H495" s="36" t="s">
        <v>897</v>
      </c>
      <c r="I495" s="36" t="s">
        <v>898</v>
      </c>
      <c r="J495" s="36" t="s">
        <v>780</v>
      </c>
      <c r="K495" s="36"/>
      <c r="L495" s="56" t="s">
        <v>49</v>
      </c>
      <c r="M495" s="143"/>
      <c r="N495" s="143"/>
      <c r="O495" s="36">
        <v>394.0</v>
      </c>
      <c r="P495" s="40" t="s">
        <v>451</v>
      </c>
      <c r="Q495" s="40" t="s">
        <v>452</v>
      </c>
      <c r="R495" s="23"/>
      <c r="S495" s="60">
        <v>394.0</v>
      </c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ht="15.75" customHeight="1">
      <c r="A496" s="24"/>
      <c r="B496" s="34">
        <v>71.0</v>
      </c>
      <c r="C496" s="250">
        <v>46140.0</v>
      </c>
      <c r="D496" s="143"/>
      <c r="E496" s="143"/>
      <c r="F496" s="143"/>
      <c r="G496" s="143"/>
      <c r="H496" s="36" t="s">
        <v>899</v>
      </c>
      <c r="I496" s="36" t="s">
        <v>140</v>
      </c>
      <c r="J496" s="36" t="s">
        <v>900</v>
      </c>
      <c r="K496" s="36"/>
      <c r="L496" s="56" t="s">
        <v>49</v>
      </c>
      <c r="M496" s="143"/>
      <c r="N496" s="143"/>
      <c r="O496" s="36">
        <v>252.0</v>
      </c>
      <c r="P496" s="40" t="s">
        <v>451</v>
      </c>
      <c r="Q496" s="40" t="s">
        <v>452</v>
      </c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ht="15.75" customHeight="1">
      <c r="A497" s="24"/>
      <c r="B497" s="34">
        <v>72.0</v>
      </c>
      <c r="C497" s="250">
        <v>46140.0</v>
      </c>
      <c r="D497" s="143"/>
      <c r="E497" s="143"/>
      <c r="F497" s="143"/>
      <c r="G497" s="143"/>
      <c r="H497" s="36" t="s">
        <v>901</v>
      </c>
      <c r="I497" s="36" t="s">
        <v>884</v>
      </c>
      <c r="J497" s="36" t="s">
        <v>902</v>
      </c>
      <c r="K497" s="36"/>
      <c r="L497" s="56" t="s">
        <v>84</v>
      </c>
      <c r="M497" s="143"/>
      <c r="N497" s="143"/>
      <c r="O497" s="36">
        <v>340.0</v>
      </c>
      <c r="P497" s="40" t="s">
        <v>462</v>
      </c>
      <c r="Q497" s="40" t="s">
        <v>452</v>
      </c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ht="15.75" customHeight="1">
      <c r="A498" s="24"/>
      <c r="B498" s="34">
        <v>73.0</v>
      </c>
      <c r="C498" s="250">
        <v>46140.0</v>
      </c>
      <c r="D498" s="143"/>
      <c r="E498" s="143"/>
      <c r="F498" s="143"/>
      <c r="G498" s="143"/>
      <c r="H498" s="36" t="s">
        <v>903</v>
      </c>
      <c r="I498" s="36" t="s">
        <v>884</v>
      </c>
      <c r="J498" s="36" t="s">
        <v>904</v>
      </c>
      <c r="K498" s="36"/>
      <c r="L498" s="56" t="s">
        <v>84</v>
      </c>
      <c r="M498" s="143"/>
      <c r="N498" s="143"/>
      <c r="O498" s="36">
        <v>7.0</v>
      </c>
      <c r="P498" s="40" t="s">
        <v>462</v>
      </c>
      <c r="Q498" s="40" t="s">
        <v>631</v>
      </c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ht="15.75" customHeight="1">
      <c r="A499" s="24"/>
      <c r="B499" s="34">
        <v>74.0</v>
      </c>
      <c r="C499" s="252">
        <v>46141.0</v>
      </c>
      <c r="D499" s="143"/>
      <c r="E499" s="143"/>
      <c r="F499" s="143"/>
      <c r="G499" s="143"/>
      <c r="H499" s="253" t="s">
        <v>905</v>
      </c>
      <c r="I499" s="237" t="s">
        <v>906</v>
      </c>
      <c r="J499" s="36" t="s">
        <v>780</v>
      </c>
      <c r="K499" s="36"/>
      <c r="L499" s="56" t="s">
        <v>49</v>
      </c>
      <c r="M499" s="143"/>
      <c r="N499" s="143"/>
      <c r="O499" s="36">
        <v>297.0</v>
      </c>
      <c r="P499" s="40" t="s">
        <v>451</v>
      </c>
      <c r="Q499" s="40" t="s">
        <v>452</v>
      </c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ht="15.75" customHeight="1">
      <c r="A500" s="24"/>
      <c r="B500" s="34">
        <v>75.0</v>
      </c>
      <c r="C500" s="252">
        <v>46141.0</v>
      </c>
      <c r="D500" s="143"/>
      <c r="E500" s="143"/>
      <c r="F500" s="143"/>
      <c r="G500" s="143"/>
      <c r="H500" s="253" t="s">
        <v>907</v>
      </c>
      <c r="I500" s="237" t="s">
        <v>752</v>
      </c>
      <c r="J500" s="36" t="s">
        <v>780</v>
      </c>
      <c r="K500" s="36"/>
      <c r="L500" s="56" t="s">
        <v>49</v>
      </c>
      <c r="M500" s="143"/>
      <c r="N500" s="143"/>
      <c r="O500" s="36">
        <v>329.0</v>
      </c>
      <c r="P500" s="40" t="s">
        <v>451</v>
      </c>
      <c r="Q500" s="40" t="s">
        <v>452</v>
      </c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ht="15.75" customHeight="1">
      <c r="A501" s="24"/>
      <c r="B501" s="34">
        <v>76.0</v>
      </c>
      <c r="C501" s="252">
        <v>46141.0</v>
      </c>
      <c r="D501" s="143"/>
      <c r="E501" s="143"/>
      <c r="F501" s="143"/>
      <c r="G501" s="143"/>
      <c r="H501" s="253" t="s">
        <v>908</v>
      </c>
      <c r="I501" s="218" t="s">
        <v>909</v>
      </c>
      <c r="J501" s="36" t="s">
        <v>780</v>
      </c>
      <c r="K501" s="36"/>
      <c r="L501" s="56" t="s">
        <v>49</v>
      </c>
      <c r="M501" s="143"/>
      <c r="N501" s="143"/>
      <c r="O501" s="36">
        <v>329.0</v>
      </c>
      <c r="P501" s="40" t="s">
        <v>451</v>
      </c>
      <c r="Q501" s="40" t="s">
        <v>452</v>
      </c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ht="15.75" customHeight="1">
      <c r="A502" s="24"/>
      <c r="B502" s="34">
        <v>77.0</v>
      </c>
      <c r="C502" s="252">
        <v>46141.0</v>
      </c>
      <c r="D502" s="143"/>
      <c r="E502" s="143"/>
      <c r="F502" s="143"/>
      <c r="G502" s="143"/>
      <c r="H502" s="254" t="s">
        <v>910</v>
      </c>
      <c r="I502" s="36" t="s">
        <v>884</v>
      </c>
      <c r="J502" s="36" t="s">
        <v>911</v>
      </c>
      <c r="K502" s="36"/>
      <c r="L502" s="56" t="s">
        <v>84</v>
      </c>
      <c r="M502" s="143"/>
      <c r="N502" s="143"/>
      <c r="O502" s="36">
        <v>40.0</v>
      </c>
      <c r="P502" s="40" t="s">
        <v>518</v>
      </c>
      <c r="Q502" s="40" t="s">
        <v>586</v>
      </c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ht="15.75" customHeight="1">
      <c r="A503" s="24"/>
      <c r="B503" s="34">
        <v>78.0</v>
      </c>
      <c r="C503" s="252">
        <v>46141.0</v>
      </c>
      <c r="D503" s="36">
        <v>3.0</v>
      </c>
      <c r="E503" s="36" t="s">
        <v>67</v>
      </c>
      <c r="F503" s="36">
        <v>64.0</v>
      </c>
      <c r="G503" s="36">
        <v>4.0969998E7</v>
      </c>
      <c r="H503" s="254" t="s">
        <v>912</v>
      </c>
      <c r="I503" s="240" t="s">
        <v>913</v>
      </c>
      <c r="J503" s="36" t="s">
        <v>914</v>
      </c>
      <c r="K503" s="36"/>
      <c r="L503" s="56" t="s">
        <v>49</v>
      </c>
      <c r="M503" s="143"/>
      <c r="N503" s="143"/>
      <c r="O503" s="36">
        <v>300.0</v>
      </c>
      <c r="P503" s="40" t="s">
        <v>451</v>
      </c>
      <c r="Q503" s="40" t="s">
        <v>452</v>
      </c>
      <c r="R503" s="23"/>
      <c r="S503" s="60">
        <v>300.0</v>
      </c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ht="15.75" customHeight="1">
      <c r="A504" s="24"/>
      <c r="B504" s="34">
        <v>79.0</v>
      </c>
      <c r="C504" s="252">
        <v>46141.0</v>
      </c>
      <c r="D504" s="143"/>
      <c r="E504" s="143"/>
      <c r="F504" s="143"/>
      <c r="G504" s="143"/>
      <c r="H504" s="253" t="s">
        <v>915</v>
      </c>
      <c r="I504" s="237" t="s">
        <v>915</v>
      </c>
      <c r="J504" s="36" t="s">
        <v>916</v>
      </c>
      <c r="K504" s="36"/>
      <c r="L504" s="56" t="s">
        <v>84</v>
      </c>
      <c r="M504" s="143"/>
      <c r="N504" s="143"/>
      <c r="O504" s="36">
        <v>60.0</v>
      </c>
      <c r="P504" s="40" t="s">
        <v>451</v>
      </c>
      <c r="Q504" s="40" t="s">
        <v>452</v>
      </c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ht="15.75" customHeight="1">
      <c r="A505" s="24"/>
      <c r="B505" s="34">
        <v>80.0</v>
      </c>
      <c r="C505" s="252">
        <v>46141.0</v>
      </c>
      <c r="D505" s="143"/>
      <c r="E505" s="143"/>
      <c r="F505" s="143"/>
      <c r="G505" s="143"/>
      <c r="H505" s="254" t="s">
        <v>917</v>
      </c>
      <c r="I505" s="226" t="s">
        <v>918</v>
      </c>
      <c r="J505" s="255" t="s">
        <v>919</v>
      </c>
      <c r="K505" s="255"/>
      <c r="L505" s="56" t="s">
        <v>49</v>
      </c>
      <c r="M505" s="143"/>
      <c r="N505" s="143"/>
      <c r="O505" s="36">
        <v>100.0</v>
      </c>
      <c r="P505" s="40" t="s">
        <v>518</v>
      </c>
      <c r="Q505" s="40" t="s">
        <v>586</v>
      </c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ht="16.5" customHeight="1">
      <c r="A506" s="24"/>
      <c r="B506" s="34">
        <v>81.0</v>
      </c>
      <c r="C506" s="244">
        <v>46142.0</v>
      </c>
      <c r="D506" s="143"/>
      <c r="E506" s="143"/>
      <c r="F506" s="143"/>
      <c r="G506" s="143"/>
      <c r="H506" s="254" t="s">
        <v>832</v>
      </c>
      <c r="I506" s="255" t="s">
        <v>920</v>
      </c>
      <c r="J506" s="255" t="s">
        <v>921</v>
      </c>
      <c r="K506" s="255"/>
      <c r="L506" s="56" t="s">
        <v>49</v>
      </c>
      <c r="M506" s="143"/>
      <c r="N506" s="143"/>
      <c r="O506" s="36">
        <v>478.0</v>
      </c>
      <c r="P506" s="40" t="s">
        <v>451</v>
      </c>
      <c r="Q506" s="40" t="s">
        <v>452</v>
      </c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ht="15.75" customHeight="1">
      <c r="A507" s="24"/>
      <c r="B507" s="34">
        <v>82.0</v>
      </c>
      <c r="C507" s="244">
        <v>46142.0</v>
      </c>
      <c r="D507" s="143"/>
      <c r="E507" s="143"/>
      <c r="F507" s="143"/>
      <c r="G507" s="143"/>
      <c r="H507" s="36" t="s">
        <v>778</v>
      </c>
      <c r="I507" s="255" t="s">
        <v>922</v>
      </c>
      <c r="J507" s="255" t="s">
        <v>923</v>
      </c>
      <c r="K507" s="255"/>
      <c r="L507" s="56" t="s">
        <v>49</v>
      </c>
      <c r="M507" s="143"/>
      <c r="N507" s="143"/>
      <c r="O507" s="36">
        <v>522.0</v>
      </c>
      <c r="P507" s="40" t="s">
        <v>451</v>
      </c>
      <c r="Q507" s="40" t="s">
        <v>452</v>
      </c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ht="15.75" customHeight="1">
      <c r="A508" s="24"/>
      <c r="B508" s="34">
        <v>83.0</v>
      </c>
      <c r="C508" s="244">
        <v>46142.0</v>
      </c>
      <c r="D508" s="143"/>
      <c r="E508" s="143"/>
      <c r="F508" s="143"/>
      <c r="G508" s="143"/>
      <c r="H508" s="251" t="s">
        <v>674</v>
      </c>
      <c r="I508" s="36" t="s">
        <v>895</v>
      </c>
      <c r="J508" s="36" t="s">
        <v>924</v>
      </c>
      <c r="K508" s="36"/>
      <c r="L508" s="56" t="s">
        <v>49</v>
      </c>
      <c r="M508" s="143"/>
      <c r="N508" s="143"/>
      <c r="O508" s="36">
        <v>35.0</v>
      </c>
      <c r="P508" s="40" t="s">
        <v>451</v>
      </c>
      <c r="Q508" s="40" t="s">
        <v>586</v>
      </c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ht="15.75" customHeight="1">
      <c r="A509" s="24"/>
      <c r="B509" s="34">
        <v>84.0</v>
      </c>
      <c r="D509" s="143"/>
      <c r="E509" s="143"/>
      <c r="F509" s="143"/>
      <c r="G509" s="143"/>
      <c r="H509" s="254"/>
      <c r="I509" s="255"/>
      <c r="J509" s="255"/>
      <c r="K509" s="255"/>
      <c r="L509" s="56"/>
      <c r="M509" s="143"/>
      <c r="N509" s="143"/>
      <c r="O509" s="36"/>
      <c r="P509" s="40"/>
      <c r="Q509" s="40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ht="15.75" customHeight="1">
      <c r="A510" s="84"/>
      <c r="B510" s="8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80">
        <f>SUM(O425:O509)</f>
        <v>17965.7</v>
      </c>
      <c r="P510" s="23"/>
      <c r="Q510" s="23"/>
      <c r="R510" s="23"/>
      <c r="S510" s="80">
        <f>SUM(S425:S509)</f>
        <v>3771</v>
      </c>
      <c r="T510" s="23"/>
      <c r="U510" s="80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ht="15.75" customHeight="1">
      <c r="A511" s="84"/>
      <c r="B511" s="8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ht="15.75" customHeight="1">
      <c r="A512" s="84"/>
      <c r="B512" s="8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ht="15.75" customHeight="1">
      <c r="A513" s="256"/>
      <c r="B513" s="257" t="s">
        <v>925</v>
      </c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9"/>
      <c r="P513" s="5"/>
      <c r="Q513" s="5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ht="15.75" customHeight="1">
      <c r="A514" s="84"/>
      <c r="B514" s="8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ht="15.75" customHeight="1">
      <c r="A515" s="85"/>
      <c r="B515" s="32" t="s">
        <v>1</v>
      </c>
      <c r="C515" s="32" t="s">
        <v>3</v>
      </c>
      <c r="D515" s="35" t="s">
        <v>4</v>
      </c>
      <c r="E515" s="7"/>
      <c r="F515" s="8"/>
      <c r="G515" s="39" t="s">
        <v>28</v>
      </c>
      <c r="H515" s="39" t="s">
        <v>29</v>
      </c>
      <c r="I515" s="32" t="s">
        <v>30</v>
      </c>
      <c r="J515" s="32" t="s">
        <v>7</v>
      </c>
      <c r="K515" s="39" t="s">
        <v>33</v>
      </c>
      <c r="L515" s="30" t="s">
        <v>34</v>
      </c>
      <c r="M515" s="32" t="s">
        <v>37</v>
      </c>
      <c r="N515" s="32" t="s">
        <v>10</v>
      </c>
      <c r="O515" s="32" t="s">
        <v>38</v>
      </c>
      <c r="P515" s="43" t="s">
        <v>39</v>
      </c>
      <c r="Q515" s="43" t="s">
        <v>40</v>
      </c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ht="15.75" customHeight="1">
      <c r="A516" s="85"/>
      <c r="B516" s="11"/>
      <c r="C516" s="11"/>
      <c r="D516" s="48" t="s">
        <v>12</v>
      </c>
      <c r="E516" s="48" t="s">
        <v>13</v>
      </c>
      <c r="F516" s="48" t="s">
        <v>14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ht="16.5" customHeight="1">
      <c r="A517" s="24"/>
      <c r="B517" s="34">
        <v>1.0</v>
      </c>
      <c r="C517" s="249">
        <v>46144.0</v>
      </c>
      <c r="D517" s="36">
        <v>3.0</v>
      </c>
      <c r="E517" s="36" t="s">
        <v>67</v>
      </c>
      <c r="F517" s="36">
        <v>68.0</v>
      </c>
      <c r="G517" s="36">
        <v>9331615.0</v>
      </c>
      <c r="H517" s="36" t="s">
        <v>926</v>
      </c>
      <c r="I517" s="36" t="s">
        <v>927</v>
      </c>
      <c r="J517" s="36" t="s">
        <v>928</v>
      </c>
      <c r="K517" s="36" t="s">
        <v>929</v>
      </c>
      <c r="L517" s="56" t="s">
        <v>49</v>
      </c>
      <c r="M517" s="143"/>
      <c r="N517" s="143"/>
      <c r="O517" s="36">
        <v>297.0</v>
      </c>
      <c r="P517" s="40" t="s">
        <v>451</v>
      </c>
      <c r="Q517" s="40" t="s">
        <v>452</v>
      </c>
      <c r="R517" s="23"/>
      <c r="S517" s="60">
        <v>297.0</v>
      </c>
      <c r="T517" s="23"/>
      <c r="U517" s="60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ht="15.75" customHeight="1">
      <c r="A518" s="24"/>
      <c r="B518" s="34">
        <v>2.0</v>
      </c>
      <c r="C518" s="246">
        <v>46146.0</v>
      </c>
      <c r="D518" s="143"/>
      <c r="E518" s="143"/>
      <c r="F518" s="143"/>
      <c r="G518" s="36">
        <v>7.728173E7</v>
      </c>
      <c r="H518" s="253" t="s">
        <v>642</v>
      </c>
      <c r="I518" s="36" t="s">
        <v>930</v>
      </c>
      <c r="J518" s="36" t="s">
        <v>928</v>
      </c>
      <c r="K518" s="36" t="s">
        <v>931</v>
      </c>
      <c r="L518" s="56" t="s">
        <v>49</v>
      </c>
      <c r="M518" s="143"/>
      <c r="N518" s="143"/>
      <c r="O518" s="36">
        <v>783.0</v>
      </c>
      <c r="P518" s="40" t="s">
        <v>451</v>
      </c>
      <c r="Q518" s="40" t="s">
        <v>452</v>
      </c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ht="15.75" customHeight="1">
      <c r="A519" s="24"/>
      <c r="B519" s="34">
        <v>3.0</v>
      </c>
      <c r="C519" s="246">
        <v>46146.0</v>
      </c>
      <c r="D519" s="143"/>
      <c r="E519" s="143"/>
      <c r="F519" s="143"/>
      <c r="G519" s="36">
        <v>1.0132472E7</v>
      </c>
      <c r="H519" s="251" t="s">
        <v>932</v>
      </c>
      <c r="I519" s="240" t="s">
        <v>658</v>
      </c>
      <c r="J519" s="36" t="s">
        <v>933</v>
      </c>
      <c r="K519" s="36" t="s">
        <v>934</v>
      </c>
      <c r="L519" s="56" t="s">
        <v>49</v>
      </c>
      <c r="M519" s="143"/>
      <c r="N519" s="143"/>
      <c r="O519" s="36">
        <v>150.0</v>
      </c>
      <c r="P519" s="40" t="s">
        <v>451</v>
      </c>
      <c r="Q519" s="40" t="s">
        <v>452</v>
      </c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ht="15.75" customHeight="1">
      <c r="A520" s="24"/>
      <c r="B520" s="34">
        <v>4.0</v>
      </c>
      <c r="C520" s="246">
        <v>46146.0</v>
      </c>
      <c r="D520" s="36">
        <v>3.0</v>
      </c>
      <c r="E520" s="36" t="s">
        <v>67</v>
      </c>
      <c r="F520" s="36">
        <v>69.0</v>
      </c>
      <c r="G520" s="36">
        <v>4.5896062E7</v>
      </c>
      <c r="H520" s="254" t="s">
        <v>935</v>
      </c>
      <c r="I520" s="237" t="s">
        <v>936</v>
      </c>
      <c r="J520" s="36" t="s">
        <v>928</v>
      </c>
      <c r="K520" s="36" t="s">
        <v>937</v>
      </c>
      <c r="L520" s="56" t="s">
        <v>49</v>
      </c>
      <c r="M520" s="143"/>
      <c r="N520" s="143"/>
      <c r="O520" s="36">
        <v>294.0</v>
      </c>
      <c r="P520" s="40" t="s">
        <v>451</v>
      </c>
      <c r="Q520" s="40" t="s">
        <v>586</v>
      </c>
      <c r="R520" s="23"/>
      <c r="S520" s="60">
        <v>294.0</v>
      </c>
      <c r="T520" s="23"/>
      <c r="U520" s="60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ht="15.75" customHeight="1">
      <c r="A521" s="24"/>
      <c r="B521" s="34">
        <v>5.0</v>
      </c>
      <c r="C521" s="246">
        <v>46146.0</v>
      </c>
      <c r="D521" s="143"/>
      <c r="E521" s="143"/>
      <c r="F521" s="143"/>
      <c r="G521" s="143"/>
      <c r="H521" s="36" t="s">
        <v>938</v>
      </c>
      <c r="I521" s="245" t="s">
        <v>629</v>
      </c>
      <c r="J521" s="36" t="s">
        <v>939</v>
      </c>
      <c r="K521" s="36" t="s">
        <v>940</v>
      </c>
      <c r="L521" s="56" t="s">
        <v>84</v>
      </c>
      <c r="M521" s="143"/>
      <c r="N521" s="143"/>
      <c r="O521" s="36">
        <v>35.0</v>
      </c>
      <c r="P521" s="40" t="s">
        <v>462</v>
      </c>
      <c r="Q521" s="40" t="s">
        <v>452</v>
      </c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ht="15.75" customHeight="1">
      <c r="A522" s="24"/>
      <c r="B522" s="34">
        <v>6.0</v>
      </c>
      <c r="C522" s="246">
        <v>46146.0</v>
      </c>
      <c r="D522" s="143"/>
      <c r="E522" s="143"/>
      <c r="F522" s="143"/>
      <c r="G522" s="143"/>
      <c r="H522" s="219" t="s">
        <v>941</v>
      </c>
      <c r="I522" s="260" t="s">
        <v>942</v>
      </c>
      <c r="J522" s="36" t="s">
        <v>943</v>
      </c>
      <c r="K522" s="36" t="s">
        <v>944</v>
      </c>
      <c r="L522" s="56" t="s">
        <v>49</v>
      </c>
      <c r="M522" s="143"/>
      <c r="N522" s="143"/>
      <c r="O522" s="36">
        <v>97.0</v>
      </c>
      <c r="P522" s="40" t="s">
        <v>451</v>
      </c>
      <c r="Q522" s="40" t="s">
        <v>452</v>
      </c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ht="15.75" customHeight="1">
      <c r="A523" s="24"/>
      <c r="B523" s="34">
        <v>7.0</v>
      </c>
      <c r="C523" s="244">
        <v>46147.0</v>
      </c>
      <c r="D523" s="36">
        <v>3.0</v>
      </c>
      <c r="E523" s="36" t="s">
        <v>67</v>
      </c>
      <c r="F523" s="36">
        <v>70.0</v>
      </c>
      <c r="G523" s="143"/>
      <c r="H523" s="219" t="s">
        <v>941</v>
      </c>
      <c r="I523" s="260" t="s">
        <v>942</v>
      </c>
      <c r="J523" s="36" t="s">
        <v>945</v>
      </c>
      <c r="K523" s="36" t="s">
        <v>944</v>
      </c>
      <c r="L523" s="56" t="s">
        <v>49</v>
      </c>
      <c r="M523" s="143"/>
      <c r="N523" s="143"/>
      <c r="O523" s="36">
        <v>297.0</v>
      </c>
      <c r="P523" s="40" t="s">
        <v>451</v>
      </c>
      <c r="Q523" s="40" t="s">
        <v>452</v>
      </c>
      <c r="R523" s="23"/>
      <c r="S523" s="60">
        <v>297.0</v>
      </c>
      <c r="T523" s="23"/>
      <c r="U523" s="60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ht="15.75" customHeight="1">
      <c r="A524" s="24"/>
      <c r="B524" s="34">
        <v>8.0</v>
      </c>
      <c r="C524" s="244">
        <v>46147.0</v>
      </c>
      <c r="D524" s="143"/>
      <c r="E524" s="143"/>
      <c r="F524" s="143"/>
      <c r="G524" s="143"/>
      <c r="H524" s="36" t="s">
        <v>946</v>
      </c>
      <c r="I524" s="36" t="s">
        <v>946</v>
      </c>
      <c r="J524" s="36" t="s">
        <v>947</v>
      </c>
      <c r="K524" s="36"/>
      <c r="L524" s="56" t="s">
        <v>84</v>
      </c>
      <c r="M524" s="143"/>
      <c r="N524" s="143"/>
      <c r="O524" s="36">
        <v>65.0</v>
      </c>
      <c r="P524" s="40" t="s">
        <v>518</v>
      </c>
      <c r="Q524" s="40" t="s">
        <v>452</v>
      </c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ht="15.75" customHeight="1">
      <c r="A525" s="24"/>
      <c r="B525" s="34">
        <v>9.0</v>
      </c>
      <c r="C525" s="244">
        <v>46147.0</v>
      </c>
      <c r="D525" s="143"/>
      <c r="E525" s="143"/>
      <c r="F525" s="143"/>
      <c r="G525" s="143"/>
      <c r="H525" s="36" t="s">
        <v>589</v>
      </c>
      <c r="I525" s="36" t="s">
        <v>589</v>
      </c>
      <c r="J525" s="36" t="s">
        <v>947</v>
      </c>
      <c r="K525" s="36"/>
      <c r="L525" s="56" t="s">
        <v>84</v>
      </c>
      <c r="M525" s="143"/>
      <c r="N525" s="143"/>
      <c r="O525" s="36">
        <v>45.0</v>
      </c>
      <c r="P525" s="40" t="s">
        <v>518</v>
      </c>
      <c r="Q525" s="40" t="s">
        <v>586</v>
      </c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ht="15.75" customHeight="1">
      <c r="A526" s="24"/>
      <c r="B526" s="34">
        <v>10.0</v>
      </c>
      <c r="C526" s="244">
        <v>46147.0</v>
      </c>
      <c r="D526" s="143"/>
      <c r="E526" s="143"/>
      <c r="F526" s="143"/>
      <c r="G526" s="36">
        <v>4.349219E7</v>
      </c>
      <c r="H526" s="261" t="s">
        <v>948</v>
      </c>
      <c r="I526" s="36" t="s">
        <v>675</v>
      </c>
      <c r="J526" s="36" t="s">
        <v>949</v>
      </c>
      <c r="K526" s="36" t="s">
        <v>950</v>
      </c>
      <c r="L526" s="56" t="s">
        <v>49</v>
      </c>
      <c r="M526" s="143"/>
      <c r="N526" s="143"/>
      <c r="O526" s="36">
        <v>75.0</v>
      </c>
      <c r="P526" s="40" t="s">
        <v>451</v>
      </c>
      <c r="Q526" s="40" t="s">
        <v>586</v>
      </c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ht="15.75" customHeight="1">
      <c r="A527" s="24"/>
      <c r="B527" s="34">
        <v>11.0</v>
      </c>
      <c r="C527" s="262">
        <v>46149.0</v>
      </c>
      <c r="D527" s="143"/>
      <c r="E527" s="143"/>
      <c r="F527" s="143"/>
      <c r="G527" s="143"/>
      <c r="H527" s="36" t="s">
        <v>951</v>
      </c>
      <c r="I527" s="36" t="s">
        <v>952</v>
      </c>
      <c r="J527" s="36" t="s">
        <v>953</v>
      </c>
      <c r="K527" s="36"/>
      <c r="L527" s="56" t="s">
        <v>49</v>
      </c>
      <c r="M527" s="143"/>
      <c r="N527" s="143"/>
      <c r="O527" s="36">
        <v>60.0</v>
      </c>
      <c r="P527" s="40" t="s">
        <v>518</v>
      </c>
      <c r="Q527" s="40" t="s">
        <v>586</v>
      </c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ht="15.75" customHeight="1">
      <c r="A528" s="24"/>
      <c r="B528" s="34">
        <v>12.0</v>
      </c>
      <c r="C528" s="262">
        <v>46149.0</v>
      </c>
      <c r="D528" s="143"/>
      <c r="E528" s="143"/>
      <c r="F528" s="143"/>
      <c r="G528" s="143"/>
      <c r="H528" s="36" t="s">
        <v>954</v>
      </c>
      <c r="I528" s="36" t="s">
        <v>954</v>
      </c>
      <c r="J528" s="36" t="s">
        <v>955</v>
      </c>
      <c r="K528" s="36" t="s">
        <v>956</v>
      </c>
      <c r="L528" s="56" t="s">
        <v>49</v>
      </c>
      <c r="M528" s="143"/>
      <c r="N528" s="143"/>
      <c r="O528" s="36">
        <v>297.0</v>
      </c>
      <c r="P528" s="40" t="s">
        <v>518</v>
      </c>
      <c r="Q528" s="40" t="s">
        <v>452</v>
      </c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ht="15.75" customHeight="1">
      <c r="A529" s="24"/>
      <c r="B529" s="34">
        <v>13.0</v>
      </c>
      <c r="C529" s="234">
        <v>46150.0</v>
      </c>
      <c r="D529" s="143"/>
      <c r="E529" s="143"/>
      <c r="F529" s="143"/>
      <c r="G529" s="143"/>
      <c r="H529" s="60" t="s">
        <v>957</v>
      </c>
      <c r="I529" s="36" t="s">
        <v>958</v>
      </c>
      <c r="J529" s="36" t="s">
        <v>949</v>
      </c>
      <c r="K529" s="36" t="s">
        <v>950</v>
      </c>
      <c r="L529" s="56" t="s">
        <v>49</v>
      </c>
      <c r="M529" s="143"/>
      <c r="N529" s="143"/>
      <c r="O529" s="36">
        <v>50.0</v>
      </c>
      <c r="P529" s="40" t="s">
        <v>451</v>
      </c>
      <c r="Q529" s="40" t="s">
        <v>452</v>
      </c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ht="15.75" customHeight="1">
      <c r="A530" s="24"/>
      <c r="B530" s="34">
        <v>14.0</v>
      </c>
      <c r="C530" s="234">
        <v>46150.0</v>
      </c>
      <c r="D530" s="143"/>
      <c r="E530" s="143"/>
      <c r="F530" s="143"/>
      <c r="G530" s="143"/>
      <c r="H530" s="36" t="s">
        <v>951</v>
      </c>
      <c r="I530" s="36" t="s">
        <v>952</v>
      </c>
      <c r="J530" s="36" t="s">
        <v>959</v>
      </c>
      <c r="K530" s="36" t="s">
        <v>960</v>
      </c>
      <c r="L530" s="56" t="s">
        <v>49</v>
      </c>
      <c r="M530" s="143"/>
      <c r="N530" s="143"/>
      <c r="O530" s="36">
        <v>60.0</v>
      </c>
      <c r="P530" s="40" t="s">
        <v>518</v>
      </c>
      <c r="Q530" s="40" t="s">
        <v>452</v>
      </c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A531" s="24"/>
      <c r="B531" s="34">
        <v>15.0</v>
      </c>
      <c r="C531" s="234">
        <v>46150.0</v>
      </c>
      <c r="D531" s="143"/>
      <c r="E531" s="143"/>
      <c r="F531" s="143"/>
      <c r="G531" s="143"/>
      <c r="H531" s="36" t="s">
        <v>938</v>
      </c>
      <c r="I531" s="36" t="s">
        <v>938</v>
      </c>
      <c r="J531" s="263" t="s">
        <v>961</v>
      </c>
      <c r="K531" s="36" t="s">
        <v>940</v>
      </c>
      <c r="L531" s="56" t="s">
        <v>49</v>
      </c>
      <c r="M531" s="143"/>
      <c r="N531" s="143"/>
      <c r="O531" s="264">
        <v>80.0</v>
      </c>
      <c r="P531" s="265" t="s">
        <v>451</v>
      </c>
      <c r="Q531" s="266" t="s">
        <v>452</v>
      </c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ht="15.75" customHeight="1">
      <c r="A532" s="24"/>
      <c r="B532" s="34">
        <v>16.0</v>
      </c>
      <c r="C532" s="225">
        <v>46151.0</v>
      </c>
      <c r="D532" s="143"/>
      <c r="E532" s="143"/>
      <c r="F532" s="143"/>
      <c r="G532" s="143"/>
      <c r="H532" s="36" t="s">
        <v>962</v>
      </c>
      <c r="I532" s="36" t="s">
        <v>963</v>
      </c>
      <c r="J532" s="36" t="s">
        <v>964</v>
      </c>
      <c r="K532" s="36" t="s">
        <v>965</v>
      </c>
      <c r="L532" s="56" t="s">
        <v>49</v>
      </c>
      <c r="M532" s="143"/>
      <c r="N532" s="143"/>
      <c r="O532" s="264">
        <v>255.0</v>
      </c>
      <c r="P532" s="265" t="s">
        <v>451</v>
      </c>
      <c r="Q532" s="266" t="s">
        <v>452</v>
      </c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A533" s="24"/>
      <c r="B533" s="34">
        <v>17.0</v>
      </c>
      <c r="C533" s="225">
        <v>46151.0</v>
      </c>
      <c r="D533" s="143"/>
      <c r="E533" s="143"/>
      <c r="F533" s="143"/>
      <c r="G533" s="143"/>
      <c r="H533" s="36" t="s">
        <v>938</v>
      </c>
      <c r="I533" s="36" t="s">
        <v>938</v>
      </c>
      <c r="J533" s="263" t="s">
        <v>966</v>
      </c>
      <c r="K533" s="36" t="s">
        <v>940</v>
      </c>
      <c r="L533" s="56" t="s">
        <v>84</v>
      </c>
      <c r="M533" s="143"/>
      <c r="N533" s="143"/>
      <c r="O533" s="264">
        <v>60.0</v>
      </c>
      <c r="P533" s="265" t="s">
        <v>518</v>
      </c>
      <c r="Q533" s="266" t="s">
        <v>452</v>
      </c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ht="15.75" customHeight="1">
      <c r="A534" s="24"/>
      <c r="B534" s="34">
        <v>18.0</v>
      </c>
      <c r="C534" s="225">
        <v>46151.0</v>
      </c>
      <c r="D534" s="36">
        <v>3.0</v>
      </c>
      <c r="E534" s="36" t="s">
        <v>67</v>
      </c>
      <c r="F534" s="36">
        <v>71.0</v>
      </c>
      <c r="G534" s="143"/>
      <c r="H534" s="219" t="s">
        <v>515</v>
      </c>
      <c r="I534" s="36" t="s">
        <v>967</v>
      </c>
      <c r="J534" s="36" t="s">
        <v>968</v>
      </c>
      <c r="K534" s="36" t="s">
        <v>969</v>
      </c>
      <c r="L534" s="56" t="s">
        <v>49</v>
      </c>
      <c r="M534" s="143"/>
      <c r="N534" s="143"/>
      <c r="O534" s="264">
        <v>435.5</v>
      </c>
      <c r="P534" s="265" t="s">
        <v>451</v>
      </c>
      <c r="Q534" s="266" t="s">
        <v>452</v>
      </c>
      <c r="R534" s="23"/>
      <c r="S534" s="60">
        <v>435.5</v>
      </c>
      <c r="T534" s="23"/>
      <c r="U534" s="60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ht="15.75" customHeight="1">
      <c r="A535" s="24"/>
      <c r="B535" s="34">
        <v>19.0</v>
      </c>
      <c r="C535" s="229">
        <v>46153.0</v>
      </c>
      <c r="D535" s="36">
        <v>3.0</v>
      </c>
      <c r="E535" s="36" t="s">
        <v>67</v>
      </c>
      <c r="F535" s="36">
        <v>72.0</v>
      </c>
      <c r="G535" s="143"/>
      <c r="H535" s="36" t="s">
        <v>970</v>
      </c>
      <c r="I535" s="36" t="s">
        <v>971</v>
      </c>
      <c r="J535" s="36" t="s">
        <v>972</v>
      </c>
      <c r="K535" s="36" t="s">
        <v>973</v>
      </c>
      <c r="L535" s="56" t="s">
        <v>49</v>
      </c>
      <c r="M535" s="143"/>
      <c r="N535" s="143"/>
      <c r="O535" s="36">
        <v>329.0</v>
      </c>
      <c r="P535" s="40" t="s">
        <v>451</v>
      </c>
      <c r="Q535" s="40" t="s">
        <v>253</v>
      </c>
      <c r="R535" s="23"/>
      <c r="S535" s="60">
        <v>329.0</v>
      </c>
      <c r="T535" s="23"/>
      <c r="U535" s="60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ht="15.75" customHeight="1">
      <c r="A536" s="24"/>
      <c r="B536" s="34">
        <v>20.0</v>
      </c>
      <c r="C536" s="220">
        <v>46154.0</v>
      </c>
      <c r="D536" s="143"/>
      <c r="E536" s="143"/>
      <c r="F536" s="143"/>
      <c r="G536" s="143"/>
      <c r="H536" s="251" t="s">
        <v>674</v>
      </c>
      <c r="I536" s="36" t="s">
        <v>895</v>
      </c>
      <c r="J536" s="36" t="s">
        <v>974</v>
      </c>
      <c r="K536" s="36" t="s">
        <v>950</v>
      </c>
      <c r="L536" s="56" t="s">
        <v>49</v>
      </c>
      <c r="M536" s="143"/>
      <c r="N536" s="143"/>
      <c r="O536" s="36">
        <v>75.0</v>
      </c>
      <c r="P536" s="40" t="s">
        <v>451</v>
      </c>
      <c r="Q536" s="40" t="s">
        <v>586</v>
      </c>
      <c r="R536" s="23"/>
      <c r="S536" s="23"/>
      <c r="T536" s="23"/>
      <c r="U536" s="60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ht="15.75" customHeight="1">
      <c r="A537" s="24"/>
      <c r="B537" s="34">
        <v>21.0</v>
      </c>
      <c r="C537" s="220">
        <v>46154.0</v>
      </c>
      <c r="D537" s="143"/>
      <c r="E537" s="143"/>
      <c r="F537" s="143"/>
      <c r="G537" s="143"/>
      <c r="H537" s="36" t="s">
        <v>668</v>
      </c>
      <c r="I537" s="267" t="s">
        <v>669</v>
      </c>
      <c r="J537" s="36" t="s">
        <v>972</v>
      </c>
      <c r="K537" s="36" t="s">
        <v>969</v>
      </c>
      <c r="L537" s="56" t="s">
        <v>49</v>
      </c>
      <c r="M537" s="143"/>
      <c r="N537" s="143"/>
      <c r="O537" s="36">
        <v>297.0</v>
      </c>
      <c r="P537" s="40" t="s">
        <v>451</v>
      </c>
      <c r="Q537" s="40" t="s">
        <v>586</v>
      </c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ht="15.75" customHeight="1">
      <c r="A538" s="24"/>
      <c r="B538" s="34">
        <v>22.0</v>
      </c>
      <c r="C538" s="228">
        <v>46155.0</v>
      </c>
      <c r="D538" s="143"/>
      <c r="E538" s="143"/>
      <c r="F538" s="143"/>
      <c r="G538" s="143"/>
      <c r="H538" s="36" t="s">
        <v>975</v>
      </c>
      <c r="I538" s="245" t="s">
        <v>976</v>
      </c>
      <c r="J538" s="36" t="s">
        <v>977</v>
      </c>
      <c r="K538" s="36" t="s">
        <v>978</v>
      </c>
      <c r="L538" s="56" t="s">
        <v>49</v>
      </c>
      <c r="M538" s="143"/>
      <c r="N538" s="143"/>
      <c r="O538" s="36">
        <v>164.0</v>
      </c>
      <c r="P538" s="40" t="s">
        <v>451</v>
      </c>
      <c r="Q538" s="40" t="s">
        <v>452</v>
      </c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ht="15.75" customHeight="1">
      <c r="A539" s="24"/>
      <c r="B539" s="34">
        <v>23.0</v>
      </c>
      <c r="C539" s="228">
        <v>46156.0</v>
      </c>
      <c r="D539" s="143"/>
      <c r="E539" s="143"/>
      <c r="F539" s="143"/>
      <c r="G539" s="143"/>
      <c r="H539" s="268" t="s">
        <v>835</v>
      </c>
      <c r="I539" s="36" t="s">
        <v>979</v>
      </c>
      <c r="J539" s="142" t="s">
        <v>972</v>
      </c>
      <c r="K539" s="121" t="s">
        <v>965</v>
      </c>
      <c r="L539" s="56" t="s">
        <v>49</v>
      </c>
      <c r="M539" s="143"/>
      <c r="N539" s="143"/>
      <c r="O539" s="36">
        <v>297.0</v>
      </c>
      <c r="P539" s="40" t="s">
        <v>451</v>
      </c>
      <c r="Q539" s="40" t="s">
        <v>452</v>
      </c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ht="15.75" customHeight="1">
      <c r="A540" s="24"/>
      <c r="B540" s="34">
        <v>24.0</v>
      </c>
      <c r="C540" s="228">
        <v>46156.0</v>
      </c>
      <c r="D540" s="143"/>
      <c r="E540" s="143"/>
      <c r="F540" s="143"/>
      <c r="G540" s="143"/>
      <c r="H540" s="36" t="s">
        <v>980</v>
      </c>
      <c r="I540" s="36" t="s">
        <v>981</v>
      </c>
      <c r="J540" s="121" t="s">
        <v>982</v>
      </c>
      <c r="K540" s="36" t="s">
        <v>969</v>
      </c>
      <c r="L540" s="56" t="s">
        <v>49</v>
      </c>
      <c r="M540" s="143"/>
      <c r="N540" s="143"/>
      <c r="O540" s="36">
        <v>220.0</v>
      </c>
      <c r="P540" s="40" t="s">
        <v>451</v>
      </c>
      <c r="Q540" s="40" t="s">
        <v>586</v>
      </c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ht="15.75" customHeight="1">
      <c r="A541" s="24"/>
      <c r="B541" s="34">
        <v>25.0</v>
      </c>
      <c r="C541" s="229">
        <v>46157.0</v>
      </c>
      <c r="D541" s="143"/>
      <c r="E541" s="143"/>
      <c r="F541" s="143"/>
      <c r="G541" s="143"/>
      <c r="H541" s="36" t="s">
        <v>980</v>
      </c>
      <c r="I541" s="36" t="s">
        <v>981</v>
      </c>
      <c r="J541" s="36" t="s">
        <v>450</v>
      </c>
      <c r="K541" s="36" t="s">
        <v>969</v>
      </c>
      <c r="L541" s="56" t="s">
        <v>49</v>
      </c>
      <c r="M541" s="143"/>
      <c r="N541" s="143"/>
      <c r="O541" s="36">
        <v>7.0</v>
      </c>
      <c r="P541" s="40" t="s">
        <v>451</v>
      </c>
      <c r="Q541" s="40" t="s">
        <v>586</v>
      </c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ht="15.75" customHeight="1">
      <c r="A542" s="24"/>
      <c r="B542" s="34">
        <v>26.0</v>
      </c>
      <c r="C542" s="229">
        <v>46157.0</v>
      </c>
      <c r="D542" s="143"/>
      <c r="E542" s="143"/>
      <c r="F542" s="143"/>
      <c r="G542" s="143"/>
      <c r="H542" s="251" t="s">
        <v>983</v>
      </c>
      <c r="I542" s="160" t="s">
        <v>984</v>
      </c>
      <c r="J542" s="36" t="s">
        <v>972</v>
      </c>
      <c r="K542" s="36" t="s">
        <v>985</v>
      </c>
      <c r="L542" s="56" t="s">
        <v>49</v>
      </c>
      <c r="M542" s="143"/>
      <c r="N542" s="143"/>
      <c r="O542" s="36">
        <v>868.2</v>
      </c>
      <c r="P542" s="40" t="s">
        <v>451</v>
      </c>
      <c r="Q542" s="40" t="s">
        <v>586</v>
      </c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ht="15.75" customHeight="1">
      <c r="A543" s="24"/>
      <c r="B543" s="34">
        <v>27.0</v>
      </c>
      <c r="C543" s="229">
        <v>46157.0</v>
      </c>
      <c r="D543" s="36">
        <v>3.0</v>
      </c>
      <c r="E543" s="36" t="s">
        <v>67</v>
      </c>
      <c r="F543" s="36">
        <v>73.0</v>
      </c>
      <c r="G543" s="143"/>
      <c r="H543" s="36" t="s">
        <v>858</v>
      </c>
      <c r="I543" s="245" t="s">
        <v>986</v>
      </c>
      <c r="J543" s="36" t="s">
        <v>972</v>
      </c>
      <c r="K543" s="36" t="s">
        <v>987</v>
      </c>
      <c r="L543" s="56" t="s">
        <v>49</v>
      </c>
      <c r="M543" s="143"/>
      <c r="N543" s="143"/>
      <c r="O543" s="36">
        <v>394.0</v>
      </c>
      <c r="P543" s="40" t="s">
        <v>451</v>
      </c>
      <c r="Q543" s="40" t="s">
        <v>452</v>
      </c>
      <c r="R543" s="23"/>
      <c r="S543" s="60">
        <v>394.0</v>
      </c>
      <c r="T543" s="23"/>
      <c r="U543" s="60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ht="15.75" customHeight="1">
      <c r="A544" s="24"/>
      <c r="B544" s="34">
        <v>28.0</v>
      </c>
      <c r="C544" s="234">
        <v>46158.0</v>
      </c>
      <c r="D544" s="143"/>
      <c r="E544" s="143"/>
      <c r="F544" s="143"/>
      <c r="G544" s="143"/>
      <c r="H544" s="36" t="s">
        <v>988</v>
      </c>
      <c r="I544" s="36" t="s">
        <v>989</v>
      </c>
      <c r="J544" s="36" t="s">
        <v>990</v>
      </c>
      <c r="K544" s="36" t="s">
        <v>944</v>
      </c>
      <c r="L544" s="56" t="s">
        <v>49</v>
      </c>
      <c r="M544" s="143"/>
      <c r="N544" s="143"/>
      <c r="O544" s="36">
        <v>294.0</v>
      </c>
      <c r="P544" s="40" t="s">
        <v>451</v>
      </c>
      <c r="Q544" s="40" t="s">
        <v>452</v>
      </c>
      <c r="R544" s="23"/>
      <c r="S544" s="23"/>
      <c r="T544" s="23"/>
      <c r="U544" s="60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ht="15.75" customHeight="1">
      <c r="A545" s="24"/>
      <c r="B545" s="34">
        <v>29.0</v>
      </c>
      <c r="C545" s="234">
        <v>46158.0</v>
      </c>
      <c r="D545" s="143"/>
      <c r="E545" s="143"/>
      <c r="F545" s="143"/>
      <c r="G545" s="143"/>
      <c r="H545" s="269" t="s">
        <v>991</v>
      </c>
      <c r="I545" s="36" t="s">
        <v>967</v>
      </c>
      <c r="J545" s="36" t="s">
        <v>992</v>
      </c>
      <c r="K545" s="36" t="s">
        <v>969</v>
      </c>
      <c r="L545" s="56" t="s">
        <v>49</v>
      </c>
      <c r="M545" s="143"/>
      <c r="N545" s="143"/>
      <c r="O545" s="270">
        <v>455.0</v>
      </c>
      <c r="P545" s="40" t="s">
        <v>451</v>
      </c>
      <c r="Q545" s="40" t="s">
        <v>586</v>
      </c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ht="15.75" customHeight="1">
      <c r="A546" s="24"/>
      <c r="B546" s="34">
        <v>30.0</v>
      </c>
      <c r="C546" s="234">
        <v>46158.0</v>
      </c>
      <c r="D546" s="143"/>
      <c r="E546" s="143"/>
      <c r="F546" s="143"/>
      <c r="G546" s="143"/>
      <c r="H546" s="36" t="s">
        <v>932</v>
      </c>
      <c r="I546" s="36" t="s">
        <v>658</v>
      </c>
      <c r="J546" s="36" t="s">
        <v>993</v>
      </c>
      <c r="K546" s="121" t="s">
        <v>934</v>
      </c>
      <c r="L546" s="56" t="s">
        <v>49</v>
      </c>
      <c r="M546" s="143"/>
      <c r="N546" s="143"/>
      <c r="O546" s="36">
        <v>147.0</v>
      </c>
      <c r="P546" s="40" t="s">
        <v>451</v>
      </c>
      <c r="Q546" s="40" t="s">
        <v>452</v>
      </c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ht="15.75" customHeight="1">
      <c r="A547" s="24"/>
      <c r="B547" s="34">
        <v>31.0</v>
      </c>
      <c r="C547" s="234">
        <v>46158.0</v>
      </c>
      <c r="D547" s="143"/>
      <c r="E547" s="143"/>
      <c r="F547" s="143"/>
      <c r="G547" s="143"/>
      <c r="H547" s="36" t="s">
        <v>994</v>
      </c>
      <c r="I547" s="36" t="s">
        <v>995</v>
      </c>
      <c r="J547" s="36" t="s">
        <v>993</v>
      </c>
      <c r="K547" s="36" t="s">
        <v>996</v>
      </c>
      <c r="L547" s="56" t="s">
        <v>49</v>
      </c>
      <c r="M547" s="143"/>
      <c r="N547" s="143"/>
      <c r="O547" s="36">
        <v>588.0</v>
      </c>
      <c r="P547" s="40" t="s">
        <v>462</v>
      </c>
      <c r="Q547" s="40" t="s">
        <v>452</v>
      </c>
      <c r="R547" s="23"/>
      <c r="S547" s="23"/>
      <c r="T547" s="23"/>
      <c r="U547" s="60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ht="15.75" customHeight="1">
      <c r="A548" s="24"/>
      <c r="B548" s="34">
        <v>32.0</v>
      </c>
      <c r="C548" s="234">
        <v>46158.0</v>
      </c>
      <c r="D548" s="143"/>
      <c r="E548" s="143"/>
      <c r="F548" s="143"/>
      <c r="G548" s="143"/>
      <c r="H548" s="36" t="s">
        <v>994</v>
      </c>
      <c r="I548" s="36" t="s">
        <v>995</v>
      </c>
      <c r="J548" s="36" t="s">
        <v>997</v>
      </c>
      <c r="K548" s="36" t="s">
        <v>996</v>
      </c>
      <c r="L548" s="56" t="s">
        <v>49</v>
      </c>
      <c r="M548" s="143"/>
      <c r="N548" s="143"/>
      <c r="O548" s="36">
        <v>399.0</v>
      </c>
      <c r="P548" s="40" t="s">
        <v>462</v>
      </c>
      <c r="Q548" s="40" t="s">
        <v>452</v>
      </c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ht="15.75" customHeight="1">
      <c r="A549" s="24"/>
      <c r="B549" s="34">
        <v>33.0</v>
      </c>
      <c r="C549" s="225">
        <v>46160.0</v>
      </c>
      <c r="D549" s="143"/>
      <c r="E549" s="143"/>
      <c r="F549" s="143"/>
      <c r="G549" s="143"/>
      <c r="H549" s="271" t="s">
        <v>998</v>
      </c>
      <c r="I549" s="272" t="s">
        <v>777</v>
      </c>
      <c r="J549" s="36" t="s">
        <v>972</v>
      </c>
      <c r="K549" s="36" t="s">
        <v>960</v>
      </c>
      <c r="L549" s="56" t="s">
        <v>49</v>
      </c>
      <c r="M549" s="143"/>
      <c r="N549" s="143"/>
      <c r="O549" s="36">
        <v>297.0</v>
      </c>
      <c r="P549" s="40" t="s">
        <v>451</v>
      </c>
      <c r="Q549" s="40" t="s">
        <v>452</v>
      </c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ht="15.75" customHeight="1">
      <c r="A550" s="24"/>
      <c r="B550" s="34">
        <v>34.0</v>
      </c>
      <c r="C550" s="225">
        <v>46160.0</v>
      </c>
      <c r="D550" s="143"/>
      <c r="E550" s="143"/>
      <c r="F550" s="143"/>
      <c r="G550" s="143"/>
      <c r="H550" s="36" t="s">
        <v>999</v>
      </c>
      <c r="I550" s="222" t="s">
        <v>1000</v>
      </c>
      <c r="J550" s="36" t="s">
        <v>972</v>
      </c>
      <c r="K550" s="36" t="s">
        <v>1001</v>
      </c>
      <c r="L550" s="56" t="s">
        <v>49</v>
      </c>
      <c r="M550" s="143"/>
      <c r="N550" s="143"/>
      <c r="O550" s="36">
        <v>30.0</v>
      </c>
      <c r="P550" s="40" t="s">
        <v>451</v>
      </c>
      <c r="Q550" s="40" t="s">
        <v>452</v>
      </c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ht="15.75" customHeight="1">
      <c r="A551" s="24"/>
      <c r="B551" s="34">
        <v>35.0</v>
      </c>
      <c r="C551" s="225">
        <v>46160.0</v>
      </c>
      <c r="D551" s="143"/>
      <c r="E551" s="143"/>
      <c r="F551" s="143"/>
      <c r="G551" s="143"/>
      <c r="H551" s="36" t="s">
        <v>1002</v>
      </c>
      <c r="I551" s="222" t="s">
        <v>629</v>
      </c>
      <c r="J551" s="36" t="s">
        <v>1003</v>
      </c>
      <c r="K551" s="36"/>
      <c r="L551" s="56" t="s">
        <v>84</v>
      </c>
      <c r="M551" s="143"/>
      <c r="N551" s="143"/>
      <c r="O551" s="36">
        <v>45.0</v>
      </c>
      <c r="P551" s="40" t="s">
        <v>462</v>
      </c>
      <c r="Q551" s="40" t="s">
        <v>452</v>
      </c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ht="15.75" customHeight="1">
      <c r="A552" s="24"/>
      <c r="B552" s="34">
        <v>36.0</v>
      </c>
      <c r="C552" s="225">
        <v>46160.0</v>
      </c>
      <c r="D552" s="143"/>
      <c r="E552" s="143"/>
      <c r="F552" s="143"/>
      <c r="G552" s="143"/>
      <c r="H552" s="36" t="s">
        <v>1004</v>
      </c>
      <c r="I552" s="245" t="s">
        <v>629</v>
      </c>
      <c r="J552" s="36" t="s">
        <v>1005</v>
      </c>
      <c r="K552" s="36"/>
      <c r="L552" s="56" t="s">
        <v>84</v>
      </c>
      <c r="M552" s="143"/>
      <c r="N552" s="143"/>
      <c r="O552" s="36">
        <v>45.0</v>
      </c>
      <c r="P552" s="40" t="s">
        <v>462</v>
      </c>
      <c r="Q552" s="40" t="s">
        <v>631</v>
      </c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ht="14.25" customHeight="1">
      <c r="A553" s="24"/>
      <c r="B553" s="34">
        <v>37.0</v>
      </c>
      <c r="C553" s="225">
        <v>46160.0</v>
      </c>
      <c r="D553" s="143"/>
      <c r="E553" s="143"/>
      <c r="F553" s="143"/>
      <c r="G553" s="143"/>
      <c r="H553" s="255" t="s">
        <v>1006</v>
      </c>
      <c r="I553" s="36" t="s">
        <v>1007</v>
      </c>
      <c r="J553" s="36" t="s">
        <v>1008</v>
      </c>
      <c r="K553" s="36" t="s">
        <v>1009</v>
      </c>
      <c r="L553" s="56" t="s">
        <v>49</v>
      </c>
      <c r="M553" s="143"/>
      <c r="N553" s="143"/>
      <c r="O553" s="36">
        <v>130.0</v>
      </c>
      <c r="P553" s="40" t="s">
        <v>462</v>
      </c>
      <c r="Q553" s="40" t="s">
        <v>452</v>
      </c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ht="15.75" customHeight="1">
      <c r="A554" s="24"/>
      <c r="B554" s="34">
        <v>38.0</v>
      </c>
      <c r="C554" s="225">
        <v>46160.0</v>
      </c>
      <c r="D554" s="36">
        <v>3.0</v>
      </c>
      <c r="E554" s="36" t="s">
        <v>67</v>
      </c>
      <c r="F554" s="36">
        <v>74.0</v>
      </c>
      <c r="G554" s="143"/>
      <c r="H554" s="36" t="s">
        <v>832</v>
      </c>
      <c r="I554" s="36" t="s">
        <v>1010</v>
      </c>
      <c r="J554" s="36" t="s">
        <v>1011</v>
      </c>
      <c r="K554" s="36" t="s">
        <v>1012</v>
      </c>
      <c r="L554" s="56" t="s">
        <v>49</v>
      </c>
      <c r="M554" s="143"/>
      <c r="N554" s="143"/>
      <c r="O554" s="36">
        <v>328.0</v>
      </c>
      <c r="P554" s="40" t="s">
        <v>518</v>
      </c>
      <c r="Q554" s="40" t="s">
        <v>452</v>
      </c>
      <c r="R554" s="23"/>
      <c r="S554" s="60">
        <v>328.0</v>
      </c>
      <c r="T554" s="23"/>
      <c r="U554" s="60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ht="15.75" customHeight="1">
      <c r="A555" s="24"/>
      <c r="B555" s="34">
        <v>39.0</v>
      </c>
      <c r="C555" s="273">
        <v>46161.0</v>
      </c>
      <c r="D555" s="143"/>
      <c r="E555" s="143"/>
      <c r="F555" s="143"/>
      <c r="G555" s="143"/>
      <c r="H555" s="36" t="s">
        <v>827</v>
      </c>
      <c r="I555" s="36" t="s">
        <v>1013</v>
      </c>
      <c r="J555" s="36" t="s">
        <v>1014</v>
      </c>
      <c r="K555" s="36" t="s">
        <v>1015</v>
      </c>
      <c r="L555" s="56" t="s">
        <v>49</v>
      </c>
      <c r="M555" s="23"/>
      <c r="N555" s="23"/>
      <c r="O555" s="274">
        <v>197.0</v>
      </c>
      <c r="P555" s="40" t="s">
        <v>451</v>
      </c>
      <c r="Q555" s="40" t="s">
        <v>452</v>
      </c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ht="15.75" customHeight="1">
      <c r="A556" s="24"/>
      <c r="B556" s="34">
        <v>40.0</v>
      </c>
      <c r="C556" s="273">
        <v>46161.0</v>
      </c>
      <c r="D556" s="143"/>
      <c r="E556" s="143"/>
      <c r="F556" s="143"/>
      <c r="G556" s="143"/>
      <c r="H556" s="269" t="s">
        <v>849</v>
      </c>
      <c r="I556" s="36" t="s">
        <v>1016</v>
      </c>
      <c r="J556" s="36" t="s">
        <v>972</v>
      </c>
      <c r="K556" s="36" t="s">
        <v>960</v>
      </c>
      <c r="L556" s="56" t="s">
        <v>49</v>
      </c>
      <c r="M556" s="23"/>
      <c r="N556" s="23"/>
      <c r="O556" s="36">
        <v>297.0</v>
      </c>
      <c r="P556" s="40" t="s">
        <v>451</v>
      </c>
      <c r="Q556" s="40" t="s">
        <v>586</v>
      </c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ht="15.0" customHeight="1">
      <c r="A557" s="24"/>
      <c r="B557" s="34">
        <v>41.0</v>
      </c>
      <c r="C557" s="273">
        <v>46161.0</v>
      </c>
      <c r="D557" s="143"/>
      <c r="E557" s="143"/>
      <c r="F557" s="143"/>
      <c r="G557" s="143"/>
      <c r="H557" s="36" t="s">
        <v>1017</v>
      </c>
      <c r="I557" s="36" t="s">
        <v>1018</v>
      </c>
      <c r="J557" s="36" t="s">
        <v>972</v>
      </c>
      <c r="K557" s="36" t="s">
        <v>1001</v>
      </c>
      <c r="L557" s="56" t="s">
        <v>49</v>
      </c>
      <c r="M557" s="23"/>
      <c r="N557" s="23"/>
      <c r="O557" s="36">
        <v>294.0</v>
      </c>
      <c r="P557" s="40" t="s">
        <v>451</v>
      </c>
      <c r="Q557" s="40" t="s">
        <v>452</v>
      </c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ht="15.75" customHeight="1">
      <c r="A558" s="24"/>
      <c r="B558" s="34">
        <v>42.0</v>
      </c>
      <c r="C558" s="273">
        <v>46161.0</v>
      </c>
      <c r="D558" s="143"/>
      <c r="E558" s="143"/>
      <c r="F558" s="143"/>
      <c r="G558" s="143"/>
      <c r="H558" s="271" t="s">
        <v>707</v>
      </c>
      <c r="I558" s="36" t="s">
        <v>1019</v>
      </c>
      <c r="J558" s="36" t="s">
        <v>972</v>
      </c>
      <c r="K558" s="36" t="s">
        <v>1020</v>
      </c>
      <c r="L558" s="56" t="s">
        <v>49</v>
      </c>
      <c r="M558" s="23"/>
      <c r="N558" s="23"/>
      <c r="O558" s="36">
        <v>297.0</v>
      </c>
      <c r="P558" s="40" t="s">
        <v>451</v>
      </c>
      <c r="Q558" s="40" t="s">
        <v>253</v>
      </c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ht="15.75" customHeight="1">
      <c r="A559" s="24"/>
      <c r="B559" s="34">
        <v>43.0</v>
      </c>
      <c r="C559" s="273">
        <v>46161.0</v>
      </c>
      <c r="D559" s="143"/>
      <c r="E559" s="143"/>
      <c r="F559" s="143"/>
      <c r="G559" s="143"/>
      <c r="H559" s="275" t="s">
        <v>1021</v>
      </c>
      <c r="I559" s="275" t="s">
        <v>1021</v>
      </c>
      <c r="J559" s="36" t="s">
        <v>949</v>
      </c>
      <c r="K559" s="36" t="s">
        <v>1022</v>
      </c>
      <c r="L559" s="56" t="s">
        <v>49</v>
      </c>
      <c r="M559" s="23"/>
      <c r="N559" s="23"/>
      <c r="O559" s="36">
        <v>50.0</v>
      </c>
      <c r="P559" s="40" t="s">
        <v>451</v>
      </c>
      <c r="Q559" s="40" t="s">
        <v>452</v>
      </c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ht="15.75" customHeight="1">
      <c r="A560" s="24"/>
      <c r="B560" s="34">
        <v>42.0</v>
      </c>
      <c r="C560" s="276">
        <v>46162.0</v>
      </c>
      <c r="D560" s="143"/>
      <c r="E560" s="143"/>
      <c r="F560" s="143"/>
      <c r="G560" s="143"/>
      <c r="H560" s="277" t="s">
        <v>1023</v>
      </c>
      <c r="I560" s="278" t="s">
        <v>1023</v>
      </c>
      <c r="J560" s="36" t="s">
        <v>1024</v>
      </c>
      <c r="K560" s="36" t="s">
        <v>1025</v>
      </c>
      <c r="L560" s="56" t="s">
        <v>49</v>
      </c>
      <c r="M560" s="23"/>
      <c r="N560" s="23"/>
      <c r="O560" s="36">
        <v>297.0</v>
      </c>
      <c r="P560" s="40" t="s">
        <v>462</v>
      </c>
      <c r="Q560" s="40" t="s">
        <v>452</v>
      </c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ht="15.75" customHeight="1">
      <c r="A561" s="24"/>
      <c r="B561" s="34">
        <v>43.0</v>
      </c>
      <c r="C561" s="276">
        <v>46162.0</v>
      </c>
      <c r="D561" s="143"/>
      <c r="E561" s="143"/>
      <c r="F561" s="143"/>
      <c r="G561" s="143"/>
      <c r="H561" s="241" t="s">
        <v>1026</v>
      </c>
      <c r="I561" s="279" t="s">
        <v>724</v>
      </c>
      <c r="J561" s="36" t="s">
        <v>972</v>
      </c>
      <c r="K561" s="36" t="s">
        <v>1027</v>
      </c>
      <c r="L561" s="56" t="s">
        <v>49</v>
      </c>
      <c r="M561" s="23"/>
      <c r="N561" s="23"/>
      <c r="O561" s="36">
        <v>297.0</v>
      </c>
      <c r="P561" s="40" t="s">
        <v>451</v>
      </c>
      <c r="Q561" s="40" t="s">
        <v>452</v>
      </c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ht="15.75" customHeight="1">
      <c r="A562" s="24"/>
      <c r="B562" s="34">
        <v>44.0</v>
      </c>
      <c r="C562" s="280">
        <v>46163.0</v>
      </c>
      <c r="D562" s="143"/>
      <c r="E562" s="143"/>
      <c r="F562" s="143"/>
      <c r="G562" s="143"/>
      <c r="H562" s="36" t="s">
        <v>1028</v>
      </c>
      <c r="I562" s="281" t="s">
        <v>1028</v>
      </c>
      <c r="J562" s="36" t="s">
        <v>1029</v>
      </c>
      <c r="K562" s="36" t="s">
        <v>1009</v>
      </c>
      <c r="L562" s="56" t="s">
        <v>49</v>
      </c>
      <c r="M562" s="23"/>
      <c r="N562" s="23"/>
      <c r="O562" s="36">
        <v>100.0</v>
      </c>
      <c r="P562" s="40" t="s">
        <v>518</v>
      </c>
      <c r="Q562" s="40" t="s">
        <v>586</v>
      </c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ht="15.75" customHeight="1">
      <c r="A563" s="24"/>
      <c r="B563" s="34">
        <v>45.0</v>
      </c>
      <c r="C563" s="280">
        <v>46163.0</v>
      </c>
      <c r="D563" s="143"/>
      <c r="E563" s="143"/>
      <c r="F563" s="143"/>
      <c r="G563" s="143"/>
      <c r="H563" s="36" t="s">
        <v>877</v>
      </c>
      <c r="I563" s="36" t="s">
        <v>878</v>
      </c>
      <c r="J563" s="36" t="s">
        <v>972</v>
      </c>
      <c r="K563" s="36" t="s">
        <v>1027</v>
      </c>
      <c r="L563" s="56" t="s">
        <v>49</v>
      </c>
      <c r="M563" s="23"/>
      <c r="N563" s="23"/>
      <c r="O563" s="36">
        <v>297.0</v>
      </c>
      <c r="P563" s="40" t="s">
        <v>451</v>
      </c>
      <c r="Q563" s="40" t="s">
        <v>586</v>
      </c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ht="15.75" customHeight="1">
      <c r="A564" s="24"/>
      <c r="B564" s="34">
        <v>46.0</v>
      </c>
      <c r="C564" s="220">
        <v>46164.0</v>
      </c>
      <c r="D564" s="143"/>
      <c r="E564" s="143"/>
      <c r="F564" s="143"/>
      <c r="G564" s="143"/>
      <c r="H564" s="60" t="s">
        <v>957</v>
      </c>
      <c r="I564" s="36" t="s">
        <v>958</v>
      </c>
      <c r="J564" s="36" t="s">
        <v>949</v>
      </c>
      <c r="K564" s="36" t="s">
        <v>950</v>
      </c>
      <c r="L564" s="56" t="s">
        <v>49</v>
      </c>
      <c r="M564" s="23"/>
      <c r="N564" s="23"/>
      <c r="O564" s="36">
        <v>50.0</v>
      </c>
      <c r="P564" s="40" t="s">
        <v>451</v>
      </c>
      <c r="Q564" s="40" t="s">
        <v>452</v>
      </c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ht="15.75" customHeight="1">
      <c r="A565" s="24"/>
      <c r="B565" s="34">
        <v>47.0</v>
      </c>
      <c r="C565" s="220">
        <v>46164.0</v>
      </c>
      <c r="D565" s="143"/>
      <c r="E565" s="143"/>
      <c r="F565" s="143"/>
      <c r="G565" s="143"/>
      <c r="H565" s="36" t="s">
        <v>1030</v>
      </c>
      <c r="I565" s="36" t="s">
        <v>1031</v>
      </c>
      <c r="J565" s="36" t="s">
        <v>972</v>
      </c>
      <c r="K565" s="36" t="s">
        <v>1032</v>
      </c>
      <c r="L565" s="56" t="s">
        <v>49</v>
      </c>
      <c r="M565" s="23"/>
      <c r="N565" s="23"/>
      <c r="O565" s="36">
        <v>294.0</v>
      </c>
      <c r="P565" s="40" t="s">
        <v>518</v>
      </c>
      <c r="Q565" s="40" t="s">
        <v>452</v>
      </c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ht="15.75" customHeight="1">
      <c r="A566" s="24"/>
      <c r="B566" s="34">
        <v>47.0</v>
      </c>
      <c r="C566" s="220">
        <v>46164.0</v>
      </c>
      <c r="D566" s="143"/>
      <c r="E566" s="143"/>
      <c r="F566" s="143"/>
      <c r="G566" s="143"/>
      <c r="H566" s="232" t="s">
        <v>1033</v>
      </c>
      <c r="I566" s="232" t="s">
        <v>1033</v>
      </c>
      <c r="J566" s="36" t="s">
        <v>1034</v>
      </c>
      <c r="K566" s="36"/>
      <c r="L566" s="56" t="s">
        <v>84</v>
      </c>
      <c r="M566" s="23"/>
      <c r="N566" s="23"/>
      <c r="O566" s="36">
        <v>6.0</v>
      </c>
      <c r="P566" s="40" t="s">
        <v>518</v>
      </c>
      <c r="Q566" s="40" t="s">
        <v>452</v>
      </c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ht="15.75" customHeight="1">
      <c r="A567" s="24"/>
      <c r="B567" s="34"/>
      <c r="C567" s="220">
        <v>46164.0</v>
      </c>
      <c r="D567" s="143"/>
      <c r="E567" s="143"/>
      <c r="F567" s="143"/>
      <c r="G567" s="143"/>
      <c r="H567" s="232" t="s">
        <v>1035</v>
      </c>
      <c r="I567" s="232" t="s">
        <v>1035</v>
      </c>
      <c r="J567" s="36" t="s">
        <v>1036</v>
      </c>
      <c r="K567" s="36"/>
      <c r="L567" s="56" t="s">
        <v>84</v>
      </c>
      <c r="M567" s="23"/>
      <c r="N567" s="23"/>
      <c r="O567" s="36">
        <v>10.0</v>
      </c>
      <c r="P567" s="40" t="s">
        <v>462</v>
      </c>
      <c r="Q567" s="40" t="s">
        <v>452</v>
      </c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ht="15.75" customHeight="1">
      <c r="A568" s="24"/>
      <c r="B568" s="34">
        <v>48.0</v>
      </c>
      <c r="C568" s="223">
        <v>46165.0</v>
      </c>
      <c r="D568" s="143"/>
      <c r="E568" s="143"/>
      <c r="F568" s="143"/>
      <c r="G568" s="143"/>
      <c r="H568" s="271" t="s">
        <v>862</v>
      </c>
      <c r="I568" s="36" t="s">
        <v>1037</v>
      </c>
      <c r="J568" s="36" t="s">
        <v>972</v>
      </c>
      <c r="K568" s="36" t="s">
        <v>1001</v>
      </c>
      <c r="L568" s="56" t="s">
        <v>49</v>
      </c>
      <c r="M568" s="23"/>
      <c r="N568" s="23"/>
      <c r="O568" s="36">
        <v>297.0</v>
      </c>
      <c r="P568" s="40" t="s">
        <v>451</v>
      </c>
      <c r="Q568" s="40" t="s">
        <v>253</v>
      </c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ht="15.75" customHeight="1">
      <c r="A569" s="24"/>
      <c r="B569" s="34">
        <v>49.0</v>
      </c>
      <c r="C569" s="223">
        <v>46165.0</v>
      </c>
      <c r="D569" s="143"/>
      <c r="E569" s="143"/>
      <c r="F569" s="143"/>
      <c r="G569" s="143"/>
      <c r="H569" s="36" t="s">
        <v>1038</v>
      </c>
      <c r="I569" s="282" t="s">
        <v>892</v>
      </c>
      <c r="J569" s="36" t="s">
        <v>972</v>
      </c>
      <c r="K569" s="36" t="s">
        <v>1015</v>
      </c>
      <c r="L569" s="56" t="s">
        <v>49</v>
      </c>
      <c r="M569" s="23"/>
      <c r="N569" s="23"/>
      <c r="O569" s="36">
        <v>297.0</v>
      </c>
      <c r="P569" s="40" t="s">
        <v>451</v>
      </c>
      <c r="Q569" s="40" t="s">
        <v>452</v>
      </c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ht="15.75" customHeight="1">
      <c r="A570" s="24"/>
      <c r="B570" s="34">
        <v>50.0</v>
      </c>
      <c r="C570" s="223">
        <v>46165.0</v>
      </c>
      <c r="D570" s="143"/>
      <c r="E570" s="143"/>
      <c r="F570" s="143"/>
      <c r="G570" s="143"/>
      <c r="H570" s="36" t="s">
        <v>1039</v>
      </c>
      <c r="I570" s="36" t="s">
        <v>1039</v>
      </c>
      <c r="J570" s="36" t="s">
        <v>1040</v>
      </c>
      <c r="K570" s="36"/>
      <c r="L570" s="56" t="s">
        <v>84</v>
      </c>
      <c r="M570" s="23"/>
      <c r="N570" s="23"/>
      <c r="O570" s="36">
        <v>32.0</v>
      </c>
      <c r="P570" s="40" t="s">
        <v>462</v>
      </c>
      <c r="Q570" s="40" t="s">
        <v>802</v>
      </c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ht="15.75" customHeight="1">
      <c r="A571" s="24"/>
      <c r="B571" s="34">
        <v>51.0</v>
      </c>
      <c r="C571" s="223">
        <v>46165.0</v>
      </c>
      <c r="D571" s="143"/>
      <c r="E571" s="143"/>
      <c r="F571" s="143"/>
      <c r="G571" s="143"/>
      <c r="H571" s="36" t="s">
        <v>1041</v>
      </c>
      <c r="I571" s="36" t="s">
        <v>1041</v>
      </c>
      <c r="J571" s="36" t="s">
        <v>972</v>
      </c>
      <c r="K571" s="36" t="s">
        <v>1009</v>
      </c>
      <c r="L571" s="56" t="s">
        <v>84</v>
      </c>
      <c r="M571" s="23"/>
      <c r="N571" s="23"/>
      <c r="O571" s="36">
        <v>97.0</v>
      </c>
      <c r="P571" s="40" t="s">
        <v>518</v>
      </c>
      <c r="Q571" s="40" t="s">
        <v>452</v>
      </c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ht="15.75" customHeight="1">
      <c r="A572" s="24"/>
      <c r="B572" s="34">
        <v>52.0</v>
      </c>
      <c r="C572" s="283">
        <v>46167.0</v>
      </c>
      <c r="D572" s="143"/>
      <c r="E572" s="143"/>
      <c r="F572" s="143"/>
      <c r="G572" s="143"/>
      <c r="H572" s="284" t="s">
        <v>646</v>
      </c>
      <c r="I572" s="282" t="s">
        <v>647</v>
      </c>
      <c r="J572" s="36" t="s">
        <v>972</v>
      </c>
      <c r="K572" s="36" t="s">
        <v>1042</v>
      </c>
      <c r="L572" s="56" t="s">
        <v>84</v>
      </c>
      <c r="M572" s="23"/>
      <c r="N572" s="23"/>
      <c r="O572" s="36">
        <v>297.0</v>
      </c>
      <c r="P572" s="40" t="s">
        <v>518</v>
      </c>
      <c r="Q572" s="40" t="s">
        <v>452</v>
      </c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ht="15.75" customHeight="1">
      <c r="A573" s="24"/>
      <c r="B573" s="34">
        <v>53.0</v>
      </c>
      <c r="C573" s="283">
        <v>46167.0</v>
      </c>
      <c r="D573" s="143"/>
      <c r="E573" s="143"/>
      <c r="F573" s="143"/>
      <c r="G573" s="143"/>
      <c r="H573" s="272" t="s">
        <v>1043</v>
      </c>
      <c r="I573" s="222" t="s">
        <v>1044</v>
      </c>
      <c r="J573" s="36" t="s">
        <v>1045</v>
      </c>
      <c r="K573" s="36" t="s">
        <v>1042</v>
      </c>
      <c r="L573" s="56" t="s">
        <v>84</v>
      </c>
      <c r="M573" s="23"/>
      <c r="N573" s="23"/>
      <c r="O573" s="36">
        <v>30.0</v>
      </c>
      <c r="P573" s="40" t="s">
        <v>518</v>
      </c>
      <c r="Q573" s="40" t="s">
        <v>452</v>
      </c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ht="15.75" customHeight="1">
      <c r="A574" s="24"/>
      <c r="B574" s="34">
        <v>54.0</v>
      </c>
      <c r="C574" s="283">
        <v>46167.0</v>
      </c>
      <c r="D574" s="143"/>
      <c r="E574" s="143"/>
      <c r="F574" s="143"/>
      <c r="G574" s="143"/>
      <c r="H574" s="271" t="s">
        <v>879</v>
      </c>
      <c r="I574" s="282" t="s">
        <v>840</v>
      </c>
      <c r="J574" s="36" t="s">
        <v>972</v>
      </c>
      <c r="K574" s="36" t="s">
        <v>960</v>
      </c>
      <c r="L574" s="56" t="s">
        <v>49</v>
      </c>
      <c r="M574" s="23"/>
      <c r="N574" s="23"/>
      <c r="O574" s="36">
        <v>297.0</v>
      </c>
      <c r="P574" s="40" t="s">
        <v>451</v>
      </c>
      <c r="Q574" s="40" t="s">
        <v>452</v>
      </c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ht="15.75" customHeight="1">
      <c r="A575" s="24"/>
      <c r="B575" s="34">
        <v>55.0</v>
      </c>
      <c r="C575" s="283">
        <v>46167.0</v>
      </c>
      <c r="D575" s="36">
        <v>1.0</v>
      </c>
      <c r="E575" s="36" t="s">
        <v>43</v>
      </c>
      <c r="F575" s="36">
        <v>4.0</v>
      </c>
      <c r="G575" s="36">
        <v>1.0465908845E10</v>
      </c>
      <c r="H575" s="36" t="s">
        <v>1046</v>
      </c>
      <c r="I575" s="245" t="s">
        <v>629</v>
      </c>
      <c r="J575" s="36" t="s">
        <v>1047</v>
      </c>
      <c r="K575" s="36"/>
      <c r="L575" s="56" t="s">
        <v>84</v>
      </c>
      <c r="M575" s="23"/>
      <c r="N575" s="23"/>
      <c r="O575" s="36">
        <v>180.0</v>
      </c>
      <c r="P575" s="40" t="s">
        <v>462</v>
      </c>
      <c r="Q575" s="40" t="s">
        <v>452</v>
      </c>
      <c r="R575" s="23"/>
      <c r="S575" s="23">
        <f>O575</f>
        <v>180</v>
      </c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ht="15.75" customHeight="1">
      <c r="A576" s="24"/>
      <c r="B576" s="34">
        <v>56.0</v>
      </c>
      <c r="C576" s="234">
        <v>46168.0</v>
      </c>
      <c r="D576" s="143"/>
      <c r="E576" s="143"/>
      <c r="F576" s="143"/>
      <c r="G576" s="143"/>
      <c r="H576" s="231" t="s">
        <v>1048</v>
      </c>
      <c r="I576" s="219" t="s">
        <v>1049</v>
      </c>
      <c r="J576" s="36" t="s">
        <v>1050</v>
      </c>
      <c r="K576" s="36" t="s">
        <v>1051</v>
      </c>
      <c r="L576" s="56" t="s">
        <v>49</v>
      </c>
      <c r="M576" s="23"/>
      <c r="N576" s="23"/>
      <c r="O576" s="36">
        <v>328.0</v>
      </c>
      <c r="P576" s="40" t="s">
        <v>518</v>
      </c>
      <c r="Q576" s="40" t="s">
        <v>452</v>
      </c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ht="15.75" customHeight="1">
      <c r="A577" s="24"/>
      <c r="B577" s="34">
        <v>56.0</v>
      </c>
      <c r="C577" s="234">
        <v>46168.0</v>
      </c>
      <c r="D577" s="143"/>
      <c r="E577" s="143"/>
      <c r="F577" s="143"/>
      <c r="G577" s="143"/>
      <c r="H577" s="231" t="s">
        <v>1052</v>
      </c>
      <c r="I577" s="219" t="s">
        <v>629</v>
      </c>
      <c r="J577" s="36" t="s">
        <v>1053</v>
      </c>
      <c r="K577" s="36"/>
      <c r="L577" s="56" t="s">
        <v>84</v>
      </c>
      <c r="M577" s="23"/>
      <c r="N577" s="23"/>
      <c r="O577" s="36">
        <v>32.0</v>
      </c>
      <c r="P577" s="40" t="s">
        <v>462</v>
      </c>
      <c r="Q577" s="40" t="s">
        <v>631</v>
      </c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ht="15.75" customHeight="1">
      <c r="A578" s="24"/>
      <c r="B578" s="34">
        <v>56.0</v>
      </c>
      <c r="C578" s="234">
        <v>46168.0</v>
      </c>
      <c r="D578" s="143"/>
      <c r="E578" s="143"/>
      <c r="F578" s="143"/>
      <c r="G578" s="143"/>
      <c r="H578" s="231" t="s">
        <v>1054</v>
      </c>
      <c r="I578" s="219" t="s">
        <v>629</v>
      </c>
      <c r="J578" s="36" t="s">
        <v>1055</v>
      </c>
      <c r="K578" s="36"/>
      <c r="L578" s="56" t="s">
        <v>84</v>
      </c>
      <c r="M578" s="23"/>
      <c r="N578" s="23"/>
      <c r="O578" s="36">
        <v>10.0</v>
      </c>
      <c r="P578" s="40" t="s">
        <v>462</v>
      </c>
      <c r="Q578" s="40" t="s">
        <v>452</v>
      </c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A579" s="24"/>
      <c r="B579" s="34">
        <v>57.0</v>
      </c>
      <c r="C579" s="229">
        <v>46169.0</v>
      </c>
      <c r="D579" s="143"/>
      <c r="E579" s="143"/>
      <c r="F579" s="143"/>
      <c r="G579" s="143"/>
      <c r="H579" s="36" t="s">
        <v>1056</v>
      </c>
      <c r="I579" s="36" t="s">
        <v>629</v>
      </c>
      <c r="J579" s="36" t="s">
        <v>1057</v>
      </c>
      <c r="K579" s="36"/>
      <c r="L579" s="56" t="s">
        <v>84</v>
      </c>
      <c r="M579" s="23"/>
      <c r="N579" s="23"/>
      <c r="O579" s="36">
        <v>351.0</v>
      </c>
      <c r="P579" s="40" t="s">
        <v>518</v>
      </c>
      <c r="Q579" s="40" t="s">
        <v>253</v>
      </c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ht="15.75" customHeight="1">
      <c r="A580" s="24"/>
      <c r="B580" s="34">
        <v>59.0</v>
      </c>
      <c r="C580" s="229">
        <v>46169.0</v>
      </c>
      <c r="D580" s="36">
        <v>3.0</v>
      </c>
      <c r="E580" s="36" t="s">
        <v>67</v>
      </c>
      <c r="F580" s="36">
        <v>75.0</v>
      </c>
      <c r="G580" s="143"/>
      <c r="H580" s="36" t="s">
        <v>1058</v>
      </c>
      <c r="I580" s="36" t="s">
        <v>1059</v>
      </c>
      <c r="J580" s="36" t="s">
        <v>972</v>
      </c>
      <c r="K580" s="36" t="s">
        <v>1042</v>
      </c>
      <c r="L580" s="56" t="s">
        <v>1060</v>
      </c>
      <c r="M580" s="23"/>
      <c r="N580" s="23"/>
      <c r="O580" s="36">
        <v>264.0</v>
      </c>
      <c r="P580" s="40" t="s">
        <v>518</v>
      </c>
      <c r="Q580" s="40" t="s">
        <v>452</v>
      </c>
      <c r="R580" s="23"/>
      <c r="S580" s="60">
        <v>264.0</v>
      </c>
      <c r="T580" s="23"/>
      <c r="U580" s="60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ht="15.75" customHeight="1">
      <c r="A581" s="24"/>
      <c r="B581" s="34">
        <v>60.0</v>
      </c>
      <c r="C581" s="229">
        <v>46169.0</v>
      </c>
      <c r="D581" s="143"/>
      <c r="E581" s="143"/>
      <c r="F581" s="143"/>
      <c r="G581" s="143"/>
      <c r="H581" s="36" t="s">
        <v>1061</v>
      </c>
      <c r="I581" s="36" t="s">
        <v>1062</v>
      </c>
      <c r="J581" s="36" t="s">
        <v>972</v>
      </c>
      <c r="K581" s="36" t="s">
        <v>1063</v>
      </c>
      <c r="L581" s="56" t="s">
        <v>49</v>
      </c>
      <c r="M581" s="23"/>
      <c r="N581" s="23"/>
      <c r="O581" s="36">
        <v>294.0</v>
      </c>
      <c r="P581" s="40" t="s">
        <v>451</v>
      </c>
      <c r="Q581" s="40" t="s">
        <v>253</v>
      </c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ht="15.75" customHeight="1">
      <c r="A582" s="24"/>
      <c r="B582" s="34">
        <v>61.0</v>
      </c>
      <c r="C582" s="229">
        <v>46169.0</v>
      </c>
      <c r="D582" s="143"/>
      <c r="E582" s="143"/>
      <c r="F582" s="143"/>
      <c r="G582" s="143"/>
      <c r="H582" s="36" t="s">
        <v>1064</v>
      </c>
      <c r="I582" s="36" t="s">
        <v>1065</v>
      </c>
      <c r="J582" s="36" t="s">
        <v>1066</v>
      </c>
      <c r="K582" s="36" t="s">
        <v>1042</v>
      </c>
      <c r="L582" s="56" t="s">
        <v>49</v>
      </c>
      <c r="M582" s="23"/>
      <c r="N582" s="23"/>
      <c r="O582" s="36">
        <v>97.0</v>
      </c>
      <c r="P582" s="40" t="s">
        <v>451</v>
      </c>
      <c r="Q582" s="40" t="s">
        <v>452</v>
      </c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ht="15.75" customHeight="1">
      <c r="A583" s="24"/>
      <c r="B583" s="34">
        <v>62.0</v>
      </c>
      <c r="C583" s="229">
        <v>46169.0</v>
      </c>
      <c r="D583" s="143"/>
      <c r="E583" s="143"/>
      <c r="F583" s="143"/>
      <c r="G583" s="143"/>
      <c r="H583" s="284" t="s">
        <v>905</v>
      </c>
      <c r="I583" s="272" t="s">
        <v>1067</v>
      </c>
      <c r="J583" s="36" t="s">
        <v>972</v>
      </c>
      <c r="K583" s="36" t="s">
        <v>1042</v>
      </c>
      <c r="L583" s="56" t="s">
        <v>49</v>
      </c>
      <c r="M583" s="23"/>
      <c r="N583" s="23"/>
      <c r="O583" s="36">
        <v>297.0</v>
      </c>
      <c r="P583" s="40" t="s">
        <v>451</v>
      </c>
      <c r="Q583" s="40" t="s">
        <v>452</v>
      </c>
      <c r="R583" s="23"/>
      <c r="S583" s="23"/>
      <c r="T583" s="23"/>
      <c r="U583" s="60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ht="20.25" customHeight="1">
      <c r="A584" s="24"/>
      <c r="B584" s="34">
        <v>63.0</v>
      </c>
      <c r="C584" s="229">
        <v>46169.0</v>
      </c>
      <c r="D584" s="36">
        <v>3.0</v>
      </c>
      <c r="E584" s="36" t="s">
        <v>67</v>
      </c>
      <c r="F584" s="36">
        <v>76.0</v>
      </c>
      <c r="G584" s="143"/>
      <c r="H584" s="36" t="s">
        <v>782</v>
      </c>
      <c r="I584" s="222" t="s">
        <v>1068</v>
      </c>
      <c r="J584" s="36" t="s">
        <v>972</v>
      </c>
      <c r="K584" s="36" t="s">
        <v>960</v>
      </c>
      <c r="L584" s="56" t="s">
        <v>49</v>
      </c>
      <c r="M584" s="23"/>
      <c r="N584" s="23"/>
      <c r="O584" s="36">
        <v>252.0</v>
      </c>
      <c r="P584" s="40" t="s">
        <v>451</v>
      </c>
      <c r="Q584" s="40" t="s">
        <v>452</v>
      </c>
      <c r="R584" s="23"/>
      <c r="S584" s="60">
        <v>252.0</v>
      </c>
      <c r="T584" s="23"/>
      <c r="U584" s="60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ht="20.25" customHeight="1">
      <c r="A585" s="24"/>
      <c r="B585" s="34"/>
      <c r="C585" s="229">
        <v>46169.0</v>
      </c>
      <c r="D585" s="143"/>
      <c r="E585" s="143"/>
      <c r="F585" s="143"/>
      <c r="G585" s="143"/>
      <c r="H585" s="36" t="s">
        <v>1069</v>
      </c>
      <c r="I585" s="222" t="s">
        <v>884</v>
      </c>
      <c r="J585" s="36" t="s">
        <v>1070</v>
      </c>
      <c r="K585" s="36"/>
      <c r="L585" s="56" t="s">
        <v>84</v>
      </c>
      <c r="M585" s="23"/>
      <c r="N585" s="23"/>
      <c r="O585" s="36">
        <v>5.0</v>
      </c>
      <c r="P585" s="40" t="s">
        <v>462</v>
      </c>
      <c r="Q585" s="40" t="s">
        <v>452</v>
      </c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ht="20.25" customHeight="1">
      <c r="A586" s="24"/>
      <c r="B586" s="34"/>
      <c r="C586" s="229">
        <v>46169.0</v>
      </c>
      <c r="D586" s="143"/>
      <c r="E586" s="143"/>
      <c r="F586" s="143"/>
      <c r="G586" s="143"/>
      <c r="H586" s="36" t="s">
        <v>1071</v>
      </c>
      <c r="I586" s="222" t="s">
        <v>884</v>
      </c>
      <c r="J586" s="36" t="s">
        <v>1072</v>
      </c>
      <c r="K586" s="36"/>
      <c r="L586" s="56" t="s">
        <v>84</v>
      </c>
      <c r="M586" s="23"/>
      <c r="N586" s="23"/>
      <c r="O586" s="36">
        <v>12.0</v>
      </c>
      <c r="P586" s="40" t="s">
        <v>462</v>
      </c>
      <c r="Q586" s="40" t="s">
        <v>452</v>
      </c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ht="15.75" customHeight="1">
      <c r="A587" s="24"/>
      <c r="B587" s="34">
        <v>64.0</v>
      </c>
      <c r="C587" s="285">
        <v>46170.0</v>
      </c>
      <c r="D587" s="36"/>
      <c r="E587" s="36"/>
      <c r="F587" s="36"/>
      <c r="G587" s="36"/>
      <c r="H587" s="231" t="s">
        <v>1073</v>
      </c>
      <c r="I587" s="282" t="s">
        <v>1074</v>
      </c>
      <c r="J587" s="36" t="s">
        <v>972</v>
      </c>
      <c r="K587" s="36" t="s">
        <v>956</v>
      </c>
      <c r="L587" s="56" t="s">
        <v>49</v>
      </c>
      <c r="M587" s="23"/>
      <c r="N587" s="23"/>
      <c r="O587" s="36">
        <v>297.0</v>
      </c>
      <c r="P587" s="40" t="s">
        <v>451</v>
      </c>
      <c r="Q587" s="40" t="s">
        <v>452</v>
      </c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ht="15.75" customHeight="1">
      <c r="A588" s="24"/>
      <c r="B588" s="34">
        <v>65.0</v>
      </c>
      <c r="C588" s="285">
        <v>46170.0</v>
      </c>
      <c r="D588" s="36">
        <v>3.0</v>
      </c>
      <c r="E588" s="36" t="s">
        <v>67</v>
      </c>
      <c r="F588" s="36">
        <v>65.0</v>
      </c>
      <c r="G588" s="36">
        <v>4.0592864E7</v>
      </c>
      <c r="H588" s="231" t="s">
        <v>1075</v>
      </c>
      <c r="I588" s="245" t="s">
        <v>884</v>
      </c>
      <c r="J588" s="36" t="s">
        <v>1076</v>
      </c>
      <c r="K588" s="36"/>
      <c r="L588" s="56" t="s">
        <v>84</v>
      </c>
      <c r="M588" s="23"/>
      <c r="N588" s="23"/>
      <c r="O588" s="36">
        <v>40.0</v>
      </c>
      <c r="P588" s="40" t="s">
        <v>462</v>
      </c>
      <c r="Q588" s="40" t="s">
        <v>452</v>
      </c>
      <c r="R588" s="23"/>
      <c r="S588" s="60">
        <v>40.0</v>
      </c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ht="15.75" customHeight="1">
      <c r="A589" s="24"/>
      <c r="B589" s="34">
        <v>66.0</v>
      </c>
      <c r="C589" s="285">
        <v>46170.0</v>
      </c>
      <c r="D589" s="36">
        <v>3.0</v>
      </c>
      <c r="E589" s="36" t="s">
        <v>67</v>
      </c>
      <c r="F589" s="36">
        <v>77.0</v>
      </c>
      <c r="G589" s="143"/>
      <c r="H589" s="36" t="s">
        <v>1077</v>
      </c>
      <c r="I589" s="36" t="s">
        <v>884</v>
      </c>
      <c r="J589" s="36" t="s">
        <v>1078</v>
      </c>
      <c r="K589" s="36"/>
      <c r="L589" s="56" t="s">
        <v>84</v>
      </c>
      <c r="M589" s="23"/>
      <c r="N589" s="23"/>
      <c r="O589" s="36">
        <v>185.0</v>
      </c>
      <c r="P589" s="40" t="s">
        <v>462</v>
      </c>
      <c r="Q589" s="40" t="s">
        <v>452</v>
      </c>
      <c r="R589" s="23"/>
      <c r="S589" s="60">
        <v>185.0</v>
      </c>
      <c r="T589" s="23"/>
      <c r="U589" s="60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ht="15.75" customHeight="1">
      <c r="A590" s="24"/>
      <c r="B590" s="34">
        <v>67.0</v>
      </c>
      <c r="C590" s="285">
        <v>46170.0</v>
      </c>
      <c r="D590" s="143"/>
      <c r="E590" s="143"/>
      <c r="F590" s="143"/>
      <c r="G590" s="143"/>
      <c r="H590" s="36" t="s">
        <v>1079</v>
      </c>
      <c r="I590" s="36" t="s">
        <v>1080</v>
      </c>
      <c r="J590" s="36" t="s">
        <v>1081</v>
      </c>
      <c r="K590" s="36" t="s">
        <v>956</v>
      </c>
      <c r="L590" s="56" t="s">
        <v>49</v>
      </c>
      <c r="M590" s="23"/>
      <c r="N590" s="23"/>
      <c r="O590" s="36">
        <v>30.0</v>
      </c>
      <c r="P590" s="40" t="s">
        <v>451</v>
      </c>
      <c r="Q590" s="40" t="s">
        <v>452</v>
      </c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ht="18.75" customHeight="1">
      <c r="A591" s="24"/>
      <c r="B591" s="34">
        <v>68.0</v>
      </c>
      <c r="C591" s="223">
        <v>46171.0</v>
      </c>
      <c r="D591" s="143"/>
      <c r="E591" s="143"/>
      <c r="F591" s="143"/>
      <c r="G591" s="36">
        <v>9533332.0</v>
      </c>
      <c r="H591" s="60" t="s">
        <v>1082</v>
      </c>
      <c r="I591" s="36" t="s">
        <v>1083</v>
      </c>
      <c r="J591" s="36" t="s">
        <v>949</v>
      </c>
      <c r="K591" s="36" t="s">
        <v>896</v>
      </c>
      <c r="L591" s="56" t="s">
        <v>49</v>
      </c>
      <c r="M591" s="23"/>
      <c r="N591" s="23"/>
      <c r="O591" s="36">
        <v>50.0</v>
      </c>
      <c r="P591" s="40" t="s">
        <v>451</v>
      </c>
      <c r="Q591" s="40" t="s">
        <v>452</v>
      </c>
      <c r="R591" s="60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ht="15.75" customHeight="1">
      <c r="A592" s="24"/>
      <c r="B592" s="34">
        <v>69.0</v>
      </c>
      <c r="C592" s="223">
        <v>46171.0</v>
      </c>
      <c r="D592" s="143"/>
      <c r="E592" s="143"/>
      <c r="F592" s="143"/>
      <c r="G592" s="143"/>
      <c r="H592" s="36" t="s">
        <v>1084</v>
      </c>
      <c r="I592" s="36" t="s">
        <v>884</v>
      </c>
      <c r="J592" s="36" t="s">
        <v>1085</v>
      </c>
      <c r="K592" s="36"/>
      <c r="L592" s="56" t="s">
        <v>84</v>
      </c>
      <c r="M592" s="23"/>
      <c r="N592" s="23"/>
      <c r="O592" s="36">
        <v>19.5</v>
      </c>
      <c r="P592" s="40" t="s">
        <v>518</v>
      </c>
      <c r="Q592" s="40" t="s">
        <v>452</v>
      </c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ht="15.75" customHeight="1">
      <c r="A593" s="24"/>
      <c r="B593" s="34">
        <v>70.0</v>
      </c>
      <c r="C593" s="223">
        <v>46171.0</v>
      </c>
      <c r="D593" s="143"/>
      <c r="E593" s="143"/>
      <c r="F593" s="143"/>
      <c r="G593" s="36">
        <v>4.0176505E7</v>
      </c>
      <c r="H593" s="36" t="s">
        <v>1086</v>
      </c>
      <c r="I593" s="36" t="s">
        <v>1087</v>
      </c>
      <c r="J593" s="36" t="s">
        <v>566</v>
      </c>
      <c r="K593" s="36" t="s">
        <v>956</v>
      </c>
      <c r="L593" s="56" t="s">
        <v>49</v>
      </c>
      <c r="M593" s="23"/>
      <c r="N593" s="23"/>
      <c r="O593" s="36">
        <v>30.0</v>
      </c>
      <c r="P593" s="40" t="s">
        <v>451</v>
      </c>
      <c r="Q593" s="40" t="s">
        <v>452</v>
      </c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ht="15.75" customHeight="1">
      <c r="A594" s="24"/>
      <c r="B594" s="34">
        <v>71.0</v>
      </c>
      <c r="C594" s="286">
        <v>46172.0</v>
      </c>
      <c r="D594" s="143"/>
      <c r="E594" s="143"/>
      <c r="F594" s="143"/>
      <c r="G594" s="36">
        <v>4.2104985E7</v>
      </c>
      <c r="H594" s="269" t="s">
        <v>1088</v>
      </c>
      <c r="I594" s="282" t="s">
        <v>774</v>
      </c>
      <c r="J594" s="36" t="s">
        <v>972</v>
      </c>
      <c r="K594" s="36" t="s">
        <v>1089</v>
      </c>
      <c r="L594" s="56" t="s">
        <v>49</v>
      </c>
      <c r="M594" s="23"/>
      <c r="N594" s="23"/>
      <c r="O594" s="36">
        <v>297.0</v>
      </c>
      <c r="P594" s="40" t="s">
        <v>451</v>
      </c>
      <c r="Q594" s="40" t="s">
        <v>452</v>
      </c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ht="15.75" customHeight="1">
      <c r="A595" s="24"/>
      <c r="B595" s="34">
        <v>72.0</v>
      </c>
      <c r="C595" s="286">
        <v>46172.0</v>
      </c>
      <c r="D595" s="143"/>
      <c r="E595" s="143"/>
      <c r="F595" s="143"/>
      <c r="G595" s="36">
        <v>7.3741534E7</v>
      </c>
      <c r="H595" s="284" t="s">
        <v>1090</v>
      </c>
      <c r="I595" s="272" t="s">
        <v>1091</v>
      </c>
      <c r="J595" s="36" t="s">
        <v>972</v>
      </c>
      <c r="K595" s="36" t="s">
        <v>1089</v>
      </c>
      <c r="L595" s="56" t="s">
        <v>49</v>
      </c>
      <c r="M595" s="23"/>
      <c r="N595" s="23"/>
      <c r="O595" s="36">
        <v>297.0</v>
      </c>
      <c r="P595" s="40" t="s">
        <v>451</v>
      </c>
      <c r="Q595" s="40" t="s">
        <v>452</v>
      </c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ht="18.0" customHeight="1">
      <c r="A596" s="24"/>
      <c r="B596" s="34">
        <v>73.0</v>
      </c>
      <c r="C596" s="286">
        <v>46172.0</v>
      </c>
      <c r="D596" s="36">
        <v>3.0</v>
      </c>
      <c r="E596" s="36" t="s">
        <v>67</v>
      </c>
      <c r="F596" s="36">
        <v>66.0</v>
      </c>
      <c r="G596" s="36">
        <v>1.0581119E7</v>
      </c>
      <c r="H596" s="36" t="s">
        <v>1092</v>
      </c>
      <c r="I596" s="36" t="s">
        <v>1093</v>
      </c>
      <c r="J596" s="36" t="s">
        <v>1094</v>
      </c>
      <c r="K596" s="36" t="s">
        <v>1009</v>
      </c>
      <c r="L596" s="56" t="s">
        <v>49</v>
      </c>
      <c r="M596" s="23"/>
      <c r="N596" s="23"/>
      <c r="O596" s="36">
        <v>294.0</v>
      </c>
      <c r="P596" s="40" t="s">
        <v>451</v>
      </c>
      <c r="Q596" s="40" t="s">
        <v>452</v>
      </c>
      <c r="R596" s="23"/>
      <c r="S596" s="60">
        <v>294.0</v>
      </c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ht="15.0" customHeight="1">
      <c r="A597" s="24"/>
      <c r="B597" s="34">
        <v>74.0</v>
      </c>
      <c r="C597" s="286">
        <v>46172.0</v>
      </c>
      <c r="D597" s="36">
        <v>3.0</v>
      </c>
      <c r="E597" s="36" t="s">
        <v>67</v>
      </c>
      <c r="F597" s="36">
        <v>67.0</v>
      </c>
      <c r="G597" s="36">
        <v>1.0581119E7</v>
      </c>
      <c r="H597" s="36" t="s">
        <v>1093</v>
      </c>
      <c r="I597" s="36" t="s">
        <v>1093</v>
      </c>
      <c r="J597" s="36" t="s">
        <v>1095</v>
      </c>
      <c r="K597" s="36" t="s">
        <v>1096</v>
      </c>
      <c r="L597" s="56" t="s">
        <v>49</v>
      </c>
      <c r="M597" s="23"/>
      <c r="N597" s="23"/>
      <c r="O597" s="36">
        <v>247.0</v>
      </c>
      <c r="P597" s="40" t="s">
        <v>518</v>
      </c>
      <c r="Q597" s="40" t="s">
        <v>452</v>
      </c>
      <c r="R597" s="23"/>
      <c r="S597" s="60">
        <v>247.0</v>
      </c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ht="15.75" customHeight="1">
      <c r="A598" s="24"/>
      <c r="B598" s="34">
        <v>75.0</v>
      </c>
      <c r="C598" s="286">
        <v>46172.0</v>
      </c>
      <c r="D598" s="143"/>
      <c r="E598" s="143"/>
      <c r="F598" s="143"/>
      <c r="G598" s="143"/>
      <c r="H598" s="36" t="s">
        <v>156</v>
      </c>
      <c r="I598" s="36" t="s">
        <v>629</v>
      </c>
      <c r="J598" s="36" t="s">
        <v>1097</v>
      </c>
      <c r="K598" s="36"/>
      <c r="L598" s="56" t="s">
        <v>84</v>
      </c>
      <c r="M598" s="23"/>
      <c r="N598" s="23"/>
      <c r="O598" s="36">
        <v>45.0</v>
      </c>
      <c r="P598" s="40" t="s">
        <v>462</v>
      </c>
      <c r="Q598" s="40" t="s">
        <v>631</v>
      </c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ht="18.0" customHeight="1">
      <c r="A599" s="24"/>
      <c r="B599" s="34">
        <v>76.0</v>
      </c>
      <c r="C599" s="286">
        <v>46172.0</v>
      </c>
      <c r="D599" s="143"/>
      <c r="E599" s="143"/>
      <c r="F599" s="143"/>
      <c r="G599" s="143"/>
      <c r="H599" s="36" t="s">
        <v>1098</v>
      </c>
      <c r="I599" s="36" t="s">
        <v>608</v>
      </c>
      <c r="J599" s="36" t="s">
        <v>1099</v>
      </c>
      <c r="K599" s="36" t="s">
        <v>1100</v>
      </c>
      <c r="L599" s="56" t="s">
        <v>49</v>
      </c>
      <c r="M599" s="23"/>
      <c r="N599" s="23"/>
      <c r="O599" s="36">
        <v>297.0</v>
      </c>
      <c r="P599" s="40" t="s">
        <v>451</v>
      </c>
      <c r="Q599" s="40" t="s">
        <v>253</v>
      </c>
      <c r="R599" s="60" t="s">
        <v>1101</v>
      </c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ht="15.75" customHeight="1">
      <c r="A600" s="24"/>
      <c r="B600" s="34">
        <v>76.0</v>
      </c>
      <c r="C600" s="286">
        <v>46172.0</v>
      </c>
      <c r="D600" s="143"/>
      <c r="E600" s="143"/>
      <c r="F600" s="143"/>
      <c r="G600" s="143"/>
      <c r="H600" s="36" t="s">
        <v>1006</v>
      </c>
      <c r="I600" s="36" t="s">
        <v>1006</v>
      </c>
      <c r="J600" s="36" t="s">
        <v>1102</v>
      </c>
      <c r="K600" s="36" t="s">
        <v>1009</v>
      </c>
      <c r="L600" s="56" t="s">
        <v>49</v>
      </c>
      <c r="M600" s="23"/>
      <c r="N600" s="23"/>
      <c r="O600" s="36">
        <v>67.0</v>
      </c>
      <c r="P600" s="40" t="s">
        <v>451</v>
      </c>
      <c r="Q600" s="40" t="s">
        <v>452</v>
      </c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ht="15.75" customHeight="1">
      <c r="A601" s="24"/>
      <c r="B601" s="34"/>
      <c r="C601" s="287"/>
      <c r="D601" s="143"/>
      <c r="E601" s="143"/>
      <c r="F601" s="143"/>
      <c r="G601" s="143"/>
      <c r="H601" s="36"/>
      <c r="I601" s="36"/>
      <c r="J601" s="36"/>
      <c r="K601" s="36"/>
      <c r="L601" s="56"/>
      <c r="M601" s="23"/>
      <c r="N601" s="23"/>
      <c r="O601" s="36"/>
      <c r="P601" s="40"/>
      <c r="Q601" s="40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ht="15.75" customHeight="1">
      <c r="A602" s="84"/>
      <c r="B602" s="288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23"/>
      <c r="N602" s="23"/>
      <c r="O602" s="80">
        <f>SUM(O517:O601)</f>
        <v>16995.2</v>
      </c>
      <c r="P602" s="143"/>
      <c r="Q602" s="143"/>
      <c r="R602" s="23"/>
      <c r="S602" s="80">
        <f>SUM(S517:S601)</f>
        <v>3836.5</v>
      </c>
      <c r="T602" s="23"/>
      <c r="U602" s="80">
        <f>SUM(U517:U601)</f>
        <v>0</v>
      </c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ht="15.75" customHeight="1">
      <c r="A603" s="84"/>
      <c r="B603" s="8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ht="15.75" customHeight="1">
      <c r="A604" s="256"/>
      <c r="B604" s="257" t="s">
        <v>1103</v>
      </c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9"/>
      <c r="P604" s="5"/>
      <c r="Q604" s="5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ht="15.75" customHeight="1">
      <c r="A605" s="84"/>
      <c r="B605" s="8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ht="15.75" customHeight="1">
      <c r="A606" s="85"/>
      <c r="B606" s="32" t="s">
        <v>1</v>
      </c>
      <c r="C606" s="32" t="s">
        <v>3</v>
      </c>
      <c r="D606" s="35" t="s">
        <v>4</v>
      </c>
      <c r="E606" s="7"/>
      <c r="F606" s="8"/>
      <c r="G606" s="39" t="s">
        <v>28</v>
      </c>
      <c r="H606" s="39" t="s">
        <v>29</v>
      </c>
      <c r="I606" s="32" t="s">
        <v>30</v>
      </c>
      <c r="J606" s="32" t="s">
        <v>7</v>
      </c>
      <c r="K606" s="39" t="s">
        <v>33</v>
      </c>
      <c r="L606" s="30" t="s">
        <v>34</v>
      </c>
      <c r="M606" s="32" t="s">
        <v>37</v>
      </c>
      <c r="N606" s="32" t="s">
        <v>10</v>
      </c>
      <c r="O606" s="32" t="s">
        <v>38</v>
      </c>
      <c r="P606" s="43" t="s">
        <v>39</v>
      </c>
      <c r="Q606" s="43" t="s">
        <v>40</v>
      </c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ht="15.75" customHeight="1">
      <c r="A607" s="85"/>
      <c r="B607" s="11"/>
      <c r="C607" s="11"/>
      <c r="D607" s="48" t="s">
        <v>12</v>
      </c>
      <c r="E607" s="48" t="s">
        <v>13</v>
      </c>
      <c r="F607" s="48" t="s">
        <v>14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ht="15.75" customHeight="1">
      <c r="A608" s="24"/>
      <c r="B608" s="34">
        <v>1.0</v>
      </c>
      <c r="C608" s="225">
        <v>46174.0</v>
      </c>
      <c r="D608" s="36">
        <v>3.0</v>
      </c>
      <c r="E608" s="36" t="s">
        <v>67</v>
      </c>
      <c r="F608" s="36">
        <v>79.0</v>
      </c>
      <c r="G608" s="143"/>
      <c r="H608" s="36" t="s">
        <v>1104</v>
      </c>
      <c r="I608" s="36" t="s">
        <v>1104</v>
      </c>
      <c r="J608" s="36" t="s">
        <v>243</v>
      </c>
      <c r="K608" s="36" t="s">
        <v>1105</v>
      </c>
      <c r="L608" s="56" t="s">
        <v>49</v>
      </c>
      <c r="M608" s="143"/>
      <c r="N608" s="143"/>
      <c r="O608" s="36">
        <f>197+67+30</f>
        <v>294</v>
      </c>
      <c r="P608" s="40" t="s">
        <v>518</v>
      </c>
      <c r="Q608" s="40" t="s">
        <v>586</v>
      </c>
      <c r="R608" s="23"/>
      <c r="S608" s="60">
        <v>294.0</v>
      </c>
      <c r="T608" s="23"/>
      <c r="U608" s="60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ht="15.75" customHeight="1">
      <c r="A609" s="24"/>
      <c r="B609" s="34">
        <v>2.0</v>
      </c>
      <c r="C609" s="225">
        <v>46174.0</v>
      </c>
      <c r="D609" s="143"/>
      <c r="E609" s="143"/>
      <c r="F609" s="143"/>
      <c r="G609" s="143"/>
      <c r="H609" s="36" t="s">
        <v>1086</v>
      </c>
      <c r="I609" s="36" t="s">
        <v>1106</v>
      </c>
      <c r="J609" s="36" t="s">
        <v>283</v>
      </c>
      <c r="K609" s="36" t="s">
        <v>1107</v>
      </c>
      <c r="L609" s="56" t="s">
        <v>49</v>
      </c>
      <c r="M609" s="143"/>
      <c r="N609" s="143"/>
      <c r="O609" s="36">
        <v>264.0</v>
      </c>
      <c r="P609" s="40" t="s">
        <v>451</v>
      </c>
      <c r="Q609" s="40" t="s">
        <v>452</v>
      </c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ht="15.75" customHeight="1">
      <c r="A610" s="24"/>
      <c r="B610" s="34">
        <v>3.0</v>
      </c>
      <c r="C610" s="225">
        <v>46174.0</v>
      </c>
      <c r="D610" s="36">
        <v>3.0</v>
      </c>
      <c r="E610" s="36" t="s">
        <v>67</v>
      </c>
      <c r="F610" s="36">
        <v>80.0</v>
      </c>
      <c r="G610" s="143"/>
      <c r="H610" s="187" t="s">
        <v>1108</v>
      </c>
      <c r="I610" s="160" t="s">
        <v>1108</v>
      </c>
      <c r="J610" s="36" t="s">
        <v>1109</v>
      </c>
      <c r="K610" s="36" t="s">
        <v>1096</v>
      </c>
      <c r="L610" s="56" t="s">
        <v>49</v>
      </c>
      <c r="M610" s="143"/>
      <c r="N610" s="143"/>
      <c r="O610" s="36">
        <v>197.0</v>
      </c>
      <c r="P610" s="40" t="s">
        <v>451</v>
      </c>
      <c r="Q610" s="40" t="s">
        <v>586</v>
      </c>
      <c r="R610" s="23"/>
      <c r="S610" s="60">
        <v>197.0</v>
      </c>
      <c r="T610" s="23"/>
      <c r="U610" s="60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ht="15.75" customHeight="1">
      <c r="A611" s="24"/>
      <c r="B611" s="34">
        <v>4.0</v>
      </c>
      <c r="C611" s="225">
        <v>46174.0</v>
      </c>
      <c r="D611" s="143"/>
      <c r="E611" s="143"/>
      <c r="F611" s="143"/>
      <c r="G611" s="143"/>
      <c r="H611" s="187" t="s">
        <v>1110</v>
      </c>
      <c r="I611" s="160" t="s">
        <v>1110</v>
      </c>
      <c r="J611" s="36" t="s">
        <v>1111</v>
      </c>
      <c r="K611" s="36" t="s">
        <v>1112</v>
      </c>
      <c r="L611" s="56" t="s">
        <v>49</v>
      </c>
      <c r="M611" s="143"/>
      <c r="N611" s="143"/>
      <c r="O611" s="36">
        <v>100.0</v>
      </c>
      <c r="P611" s="40" t="s">
        <v>462</v>
      </c>
      <c r="Q611" s="40" t="s">
        <v>631</v>
      </c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ht="15.75" customHeight="1">
      <c r="A612" s="24"/>
      <c r="B612" s="34">
        <v>5.0</v>
      </c>
      <c r="C612" s="249">
        <v>46175.0</v>
      </c>
      <c r="D612" s="143"/>
      <c r="E612" s="143"/>
      <c r="F612" s="143"/>
      <c r="G612" s="143"/>
      <c r="H612" s="232" t="s">
        <v>1113</v>
      </c>
      <c r="I612" s="289" t="s">
        <v>1114</v>
      </c>
      <c r="J612" s="36" t="s">
        <v>1115</v>
      </c>
      <c r="K612" s="36" t="s">
        <v>1116</v>
      </c>
      <c r="L612" s="56" t="s">
        <v>49</v>
      </c>
      <c r="M612" s="143"/>
      <c r="N612" s="143"/>
      <c r="O612" s="36">
        <v>264.0</v>
      </c>
      <c r="P612" s="40" t="s">
        <v>451</v>
      </c>
      <c r="Q612" s="40" t="s">
        <v>452</v>
      </c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ht="15.75" customHeight="1">
      <c r="A613" s="24"/>
      <c r="B613" s="34">
        <v>6.0</v>
      </c>
      <c r="C613" s="249">
        <v>46175.0</v>
      </c>
      <c r="D613" s="143"/>
      <c r="E613" s="143"/>
      <c r="F613" s="143"/>
      <c r="G613" s="143"/>
      <c r="H613" s="36" t="s">
        <v>1117</v>
      </c>
      <c r="I613" s="36" t="s">
        <v>1118</v>
      </c>
      <c r="J613" s="36" t="s">
        <v>566</v>
      </c>
      <c r="K613" s="36" t="s">
        <v>1119</v>
      </c>
      <c r="L613" s="56" t="s">
        <v>49</v>
      </c>
      <c r="M613" s="143"/>
      <c r="N613" s="143"/>
      <c r="O613" s="36">
        <v>30.0</v>
      </c>
      <c r="P613" s="40" t="s">
        <v>518</v>
      </c>
      <c r="Q613" s="40" t="s">
        <v>452</v>
      </c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ht="15.75" customHeight="1">
      <c r="A614" s="24"/>
      <c r="B614" s="34">
        <v>7.0</v>
      </c>
      <c r="C614" s="239">
        <v>46176.0</v>
      </c>
      <c r="D614" s="143"/>
      <c r="E614" s="143"/>
      <c r="F614" s="143"/>
      <c r="G614" s="143"/>
      <c r="H614" s="36" t="s">
        <v>932</v>
      </c>
      <c r="I614" s="36" t="s">
        <v>658</v>
      </c>
      <c r="J614" s="36" t="s">
        <v>1120</v>
      </c>
      <c r="K614" s="36" t="s">
        <v>969</v>
      </c>
      <c r="L614" s="56" t="s">
        <v>49</v>
      </c>
      <c r="M614" s="143"/>
      <c r="N614" s="143"/>
      <c r="O614" s="36">
        <v>140.0</v>
      </c>
      <c r="P614" s="40" t="s">
        <v>451</v>
      </c>
      <c r="Q614" s="40" t="s">
        <v>452</v>
      </c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ht="15.75" customHeight="1">
      <c r="A615" s="24"/>
      <c r="B615" s="34">
        <v>8.0</v>
      </c>
      <c r="C615" s="239">
        <v>46176.0</v>
      </c>
      <c r="D615" s="36">
        <v>3.0</v>
      </c>
      <c r="E615" s="36" t="s">
        <v>67</v>
      </c>
      <c r="F615" s="36">
        <v>81.0</v>
      </c>
      <c r="G615" s="143"/>
      <c r="H615" s="36" t="s">
        <v>1121</v>
      </c>
      <c r="I615" s="36" t="s">
        <v>1122</v>
      </c>
      <c r="J615" s="36" t="s">
        <v>1109</v>
      </c>
      <c r="K615" s="36" t="s">
        <v>969</v>
      </c>
      <c r="L615" s="56" t="s">
        <v>49</v>
      </c>
      <c r="M615" s="143"/>
      <c r="N615" s="143"/>
      <c r="O615" s="36">
        <v>202.0</v>
      </c>
      <c r="P615" s="40" t="s">
        <v>451</v>
      </c>
      <c r="Q615" s="40" t="s">
        <v>253</v>
      </c>
      <c r="R615" s="23"/>
      <c r="S615" s="60">
        <v>202.0</v>
      </c>
      <c r="T615" s="23"/>
      <c r="U615" s="60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ht="15.75" customHeight="1">
      <c r="A616" s="24"/>
      <c r="B616" s="34">
        <v>9.0</v>
      </c>
      <c r="C616" s="239">
        <v>46176.0</v>
      </c>
      <c r="D616" s="143"/>
      <c r="E616" s="143"/>
      <c r="F616" s="143"/>
      <c r="G616" s="143"/>
      <c r="H616" s="284" t="s">
        <v>912</v>
      </c>
      <c r="I616" s="232" t="s">
        <v>913</v>
      </c>
      <c r="J616" s="36" t="s">
        <v>1123</v>
      </c>
      <c r="K616" s="36" t="s">
        <v>969</v>
      </c>
      <c r="L616" s="56" t="s">
        <v>49</v>
      </c>
      <c r="M616" s="143"/>
      <c r="N616" s="143"/>
      <c r="O616" s="36">
        <v>210.0</v>
      </c>
      <c r="P616" s="40" t="s">
        <v>451</v>
      </c>
      <c r="Q616" s="40" t="s">
        <v>452</v>
      </c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ht="15.75" customHeight="1">
      <c r="A617" s="24"/>
      <c r="B617" s="34">
        <v>10.0</v>
      </c>
      <c r="C617" s="239">
        <v>46176.0</v>
      </c>
      <c r="D617" s="143"/>
      <c r="E617" s="143"/>
      <c r="F617" s="143"/>
      <c r="G617" s="143"/>
      <c r="H617" s="36" t="s">
        <v>1075</v>
      </c>
      <c r="I617" s="36" t="s">
        <v>629</v>
      </c>
      <c r="J617" s="36" t="s">
        <v>1124</v>
      </c>
      <c r="K617" s="36" t="s">
        <v>884</v>
      </c>
      <c r="L617" s="56" t="s">
        <v>84</v>
      </c>
      <c r="M617" s="143"/>
      <c r="N617" s="143"/>
      <c r="O617" s="36">
        <v>28.0</v>
      </c>
      <c r="P617" s="40" t="s">
        <v>462</v>
      </c>
      <c r="Q617" s="40" t="s">
        <v>452</v>
      </c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ht="15.75" customHeight="1">
      <c r="A618" s="24"/>
      <c r="B618" s="34">
        <v>11.0</v>
      </c>
      <c r="C618" s="239">
        <v>46176.0</v>
      </c>
      <c r="D618" s="36">
        <v>3.0</v>
      </c>
      <c r="E618" s="36" t="s">
        <v>67</v>
      </c>
      <c r="F618" s="36">
        <v>82.0</v>
      </c>
      <c r="G618" s="19">
        <v>7.2237119E7</v>
      </c>
      <c r="H618" s="36" t="s">
        <v>1125</v>
      </c>
      <c r="I618" s="36" t="s">
        <v>629</v>
      </c>
      <c r="J618" s="36" t="s">
        <v>1126</v>
      </c>
      <c r="K618" s="36" t="s">
        <v>884</v>
      </c>
      <c r="L618" s="56" t="s">
        <v>84</v>
      </c>
      <c r="M618" s="143"/>
      <c r="N618" s="143"/>
      <c r="O618" s="36">
        <v>90.0</v>
      </c>
      <c r="P618" s="40" t="s">
        <v>462</v>
      </c>
      <c r="Q618" s="40" t="s">
        <v>452</v>
      </c>
      <c r="R618" s="23"/>
      <c r="S618" s="60">
        <v>90.0</v>
      </c>
      <c r="T618" s="23"/>
      <c r="U618" s="60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ht="15.75" customHeight="1">
      <c r="A619" s="24"/>
      <c r="B619" s="34">
        <v>12.0</v>
      </c>
      <c r="C619" s="290">
        <v>46177.0</v>
      </c>
      <c r="D619" s="143"/>
      <c r="E619" s="143"/>
      <c r="F619" s="143"/>
      <c r="G619" s="143"/>
      <c r="H619" s="284" t="s">
        <v>912</v>
      </c>
      <c r="I619" s="232" t="s">
        <v>913</v>
      </c>
      <c r="J619" s="36" t="s">
        <v>1127</v>
      </c>
      <c r="K619" s="36" t="s">
        <v>969</v>
      </c>
      <c r="L619" s="56" t="s">
        <v>49</v>
      </c>
      <c r="M619" s="143"/>
      <c r="N619" s="143"/>
      <c r="O619" s="36">
        <v>210.0</v>
      </c>
      <c r="P619" s="40" t="s">
        <v>451</v>
      </c>
      <c r="Q619" s="40" t="s">
        <v>452</v>
      </c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ht="15.75" customHeight="1">
      <c r="A620" s="24"/>
      <c r="B620" s="34">
        <v>13.0</v>
      </c>
      <c r="C620" s="290">
        <v>46177.0</v>
      </c>
      <c r="D620" s="143"/>
      <c r="E620" s="143"/>
      <c r="F620" s="143"/>
      <c r="G620" s="143"/>
      <c r="H620" s="271" t="s">
        <v>908</v>
      </c>
      <c r="I620" s="36" t="s">
        <v>909</v>
      </c>
      <c r="J620" s="36" t="s">
        <v>1109</v>
      </c>
      <c r="K620" s="36" t="s">
        <v>969</v>
      </c>
      <c r="L620" s="56" t="s">
        <v>49</v>
      </c>
      <c r="M620" s="143"/>
      <c r="N620" s="143"/>
      <c r="O620" s="36">
        <v>329.0</v>
      </c>
      <c r="P620" s="40" t="s">
        <v>451</v>
      </c>
      <c r="Q620" s="40" t="s">
        <v>452</v>
      </c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ht="15.75" customHeight="1">
      <c r="A621" s="24"/>
      <c r="B621" s="34">
        <v>14.0</v>
      </c>
      <c r="C621" s="290">
        <v>46177.0</v>
      </c>
      <c r="D621" s="143"/>
      <c r="E621" s="143"/>
      <c r="F621" s="143"/>
      <c r="G621" s="143"/>
      <c r="H621" s="36" t="s">
        <v>1128</v>
      </c>
      <c r="I621" s="36" t="s">
        <v>1128</v>
      </c>
      <c r="J621" s="36" t="s">
        <v>1129</v>
      </c>
      <c r="K621" s="36" t="s">
        <v>884</v>
      </c>
      <c r="L621" s="56" t="s">
        <v>84</v>
      </c>
      <c r="M621" s="143"/>
      <c r="N621" s="143"/>
      <c r="O621" s="36">
        <v>399.0</v>
      </c>
      <c r="P621" s="40" t="s">
        <v>518</v>
      </c>
      <c r="Q621" s="40" t="s">
        <v>452</v>
      </c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ht="15.75" customHeight="1">
      <c r="A622" s="24"/>
      <c r="B622" s="34">
        <v>15.0</v>
      </c>
      <c r="C622" s="290">
        <v>46177.0</v>
      </c>
      <c r="D622" s="143"/>
      <c r="E622" s="143"/>
      <c r="F622" s="143"/>
      <c r="G622" s="143"/>
      <c r="H622" s="36" t="s">
        <v>948</v>
      </c>
      <c r="I622" s="36" t="s">
        <v>675</v>
      </c>
      <c r="J622" s="36" t="s">
        <v>949</v>
      </c>
      <c r="K622" s="36" t="s">
        <v>506</v>
      </c>
      <c r="L622" s="56" t="s">
        <v>49</v>
      </c>
      <c r="M622" s="143"/>
      <c r="N622" s="143"/>
      <c r="O622" s="36">
        <v>35.0</v>
      </c>
      <c r="P622" s="40" t="s">
        <v>451</v>
      </c>
      <c r="Q622" s="40" t="s">
        <v>586</v>
      </c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ht="15.75" customHeight="1">
      <c r="A623" s="24"/>
      <c r="B623" s="34">
        <v>16.0</v>
      </c>
      <c r="C623" s="291">
        <v>46178.0</v>
      </c>
      <c r="D623" s="143"/>
      <c r="E623" s="143"/>
      <c r="F623" s="143"/>
      <c r="G623" s="143"/>
      <c r="H623" s="36" t="s">
        <v>962</v>
      </c>
      <c r="I623" s="36" t="s">
        <v>963</v>
      </c>
      <c r="J623" s="36" t="s">
        <v>48</v>
      </c>
      <c r="K623" s="36" t="s">
        <v>1130</v>
      </c>
      <c r="L623" s="56" t="s">
        <v>49</v>
      </c>
      <c r="M623" s="143"/>
      <c r="N623" s="143"/>
      <c r="O623" s="36">
        <v>297.0</v>
      </c>
      <c r="P623" s="40" t="s">
        <v>518</v>
      </c>
      <c r="Q623" s="40" t="s">
        <v>452</v>
      </c>
      <c r="R623" s="23"/>
      <c r="S623" s="60">
        <v>297.0</v>
      </c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ht="15.75" customHeight="1">
      <c r="A624" s="24"/>
      <c r="B624" s="34">
        <v>17.0</v>
      </c>
      <c r="C624" s="291">
        <v>46178.0</v>
      </c>
      <c r="D624" s="143"/>
      <c r="E624" s="143"/>
      <c r="F624" s="143"/>
      <c r="G624" s="143"/>
      <c r="H624" s="36" t="s">
        <v>1131</v>
      </c>
      <c r="I624" s="36" t="s">
        <v>1132</v>
      </c>
      <c r="J624" s="36" t="s">
        <v>243</v>
      </c>
      <c r="K624" s="36" t="s">
        <v>1105</v>
      </c>
      <c r="L624" s="56" t="s">
        <v>49</v>
      </c>
      <c r="M624" s="143"/>
      <c r="N624" s="143"/>
      <c r="O624" s="36">
        <v>294.0</v>
      </c>
      <c r="P624" s="40" t="s">
        <v>518</v>
      </c>
      <c r="Q624" s="40" t="s">
        <v>253</v>
      </c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ht="15.75" customHeight="1">
      <c r="A625" s="24"/>
      <c r="B625" s="34">
        <v>18.0</v>
      </c>
      <c r="C625" s="291">
        <v>46178.0</v>
      </c>
      <c r="D625" s="143"/>
      <c r="E625" s="143"/>
      <c r="F625" s="143"/>
      <c r="G625" s="143"/>
      <c r="H625" s="36" t="s">
        <v>1108</v>
      </c>
      <c r="I625" s="36" t="s">
        <v>1108</v>
      </c>
      <c r="J625" s="36" t="s">
        <v>1133</v>
      </c>
      <c r="K625" s="36" t="s">
        <v>884</v>
      </c>
      <c r="L625" s="56" t="s">
        <v>84</v>
      </c>
      <c r="M625" s="143"/>
      <c r="N625" s="143"/>
      <c r="O625" s="36">
        <v>38.0</v>
      </c>
      <c r="P625" s="40" t="s">
        <v>518</v>
      </c>
      <c r="Q625" s="40" t="s">
        <v>452</v>
      </c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ht="15.75" customHeight="1">
      <c r="A626" s="24"/>
      <c r="B626" s="34">
        <v>19.0</v>
      </c>
      <c r="C626" s="292">
        <v>46179.0</v>
      </c>
      <c r="D626" s="143"/>
      <c r="E626" s="143"/>
      <c r="F626" s="143"/>
      <c r="G626" s="143"/>
      <c r="H626" s="36" t="s">
        <v>957</v>
      </c>
      <c r="I626" s="36" t="s">
        <v>958</v>
      </c>
      <c r="J626" s="36" t="s">
        <v>1134</v>
      </c>
      <c r="K626" s="143"/>
      <c r="L626" s="56" t="s">
        <v>49</v>
      </c>
      <c r="M626" s="143"/>
      <c r="N626" s="143"/>
      <c r="O626" s="36">
        <v>50.0</v>
      </c>
      <c r="P626" s="40" t="s">
        <v>518</v>
      </c>
      <c r="Q626" s="40" t="s">
        <v>452</v>
      </c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ht="15.75" customHeight="1">
      <c r="A627" s="24"/>
      <c r="B627" s="34">
        <v>20.0</v>
      </c>
      <c r="C627" s="292">
        <v>46179.0</v>
      </c>
      <c r="D627" s="143"/>
      <c r="E627" s="143"/>
      <c r="F627" s="143"/>
      <c r="G627" s="143"/>
      <c r="H627" s="36" t="s">
        <v>1135</v>
      </c>
      <c r="I627" s="36" t="s">
        <v>1135</v>
      </c>
      <c r="J627" s="36" t="s">
        <v>1136</v>
      </c>
      <c r="K627" s="36" t="s">
        <v>1137</v>
      </c>
      <c r="L627" s="56" t="s">
        <v>49</v>
      </c>
      <c r="M627" s="143"/>
      <c r="N627" s="143"/>
      <c r="O627" s="36">
        <v>197.0</v>
      </c>
      <c r="P627" s="40" t="s">
        <v>518</v>
      </c>
      <c r="Q627" s="40" t="s">
        <v>586</v>
      </c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ht="15.75" customHeight="1">
      <c r="A628" s="24"/>
      <c r="B628" s="34">
        <v>21.0</v>
      </c>
      <c r="C628" s="292">
        <v>46179.0</v>
      </c>
      <c r="D628" s="143"/>
      <c r="E628" s="143"/>
      <c r="F628" s="143"/>
      <c r="G628" s="143"/>
      <c r="H628" s="36" t="s">
        <v>1135</v>
      </c>
      <c r="I628" s="36" t="s">
        <v>1135</v>
      </c>
      <c r="J628" s="36" t="s">
        <v>1138</v>
      </c>
      <c r="K628" s="143"/>
      <c r="L628" s="56" t="s">
        <v>84</v>
      </c>
      <c r="M628" s="143"/>
      <c r="N628" s="143"/>
      <c r="O628" s="36">
        <v>3.0</v>
      </c>
      <c r="P628" s="40" t="s">
        <v>518</v>
      </c>
      <c r="Q628" s="40" t="s">
        <v>586</v>
      </c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ht="15.75" customHeight="1">
      <c r="A629" s="24"/>
      <c r="B629" s="34">
        <v>22.0</v>
      </c>
      <c r="C629" s="292">
        <v>46179.0</v>
      </c>
      <c r="D629" s="143"/>
      <c r="E629" s="143"/>
      <c r="F629" s="143"/>
      <c r="G629" s="143"/>
      <c r="H629" s="36" t="s">
        <v>1139</v>
      </c>
      <c r="I629" s="36" t="s">
        <v>1140</v>
      </c>
      <c r="J629" s="36" t="s">
        <v>1141</v>
      </c>
      <c r="K629" s="36" t="s">
        <v>1142</v>
      </c>
      <c r="L629" s="56" t="s">
        <v>49</v>
      </c>
      <c r="M629" s="143"/>
      <c r="N629" s="143"/>
      <c r="O629" s="143">
        <f>329+67</f>
        <v>396</v>
      </c>
      <c r="P629" s="40" t="s">
        <v>518</v>
      </c>
      <c r="Q629" s="40" t="s">
        <v>452</v>
      </c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ht="15.75" customHeight="1">
      <c r="A630" s="24"/>
      <c r="B630" s="34">
        <v>23.0</v>
      </c>
      <c r="C630" s="292">
        <v>46179.0</v>
      </c>
      <c r="D630" s="143"/>
      <c r="E630" s="143"/>
      <c r="F630" s="143"/>
      <c r="G630" s="143"/>
      <c r="H630" s="36" t="s">
        <v>1143</v>
      </c>
      <c r="I630" s="226" t="s">
        <v>1144</v>
      </c>
      <c r="J630" s="36" t="s">
        <v>1145</v>
      </c>
      <c r="K630" s="36" t="s">
        <v>1107</v>
      </c>
      <c r="L630" s="56" t="s">
        <v>49</v>
      </c>
      <c r="M630" s="143"/>
      <c r="N630" s="143"/>
      <c r="O630" s="36">
        <f>197+67+30</f>
        <v>294</v>
      </c>
      <c r="P630" s="40" t="s">
        <v>518</v>
      </c>
      <c r="Q630" s="40" t="s">
        <v>253</v>
      </c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ht="15.75" customHeight="1">
      <c r="A631" s="24"/>
      <c r="B631" s="34">
        <v>24.0</v>
      </c>
      <c r="C631" s="292">
        <v>46179.0</v>
      </c>
      <c r="D631" s="143"/>
      <c r="E631" s="143"/>
      <c r="F631" s="143"/>
      <c r="G631" s="143"/>
      <c r="H631" s="36" t="s">
        <v>926</v>
      </c>
      <c r="I631" s="36" t="s">
        <v>1146</v>
      </c>
      <c r="J631" s="36" t="s">
        <v>1147</v>
      </c>
      <c r="K631" s="36" t="s">
        <v>1142</v>
      </c>
      <c r="L631" s="56" t="s">
        <v>49</v>
      </c>
      <c r="M631" s="143"/>
      <c r="N631" s="143"/>
      <c r="O631" s="36">
        <v>197.0</v>
      </c>
      <c r="P631" s="40" t="s">
        <v>518</v>
      </c>
      <c r="Q631" s="40" t="s">
        <v>452</v>
      </c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ht="15.75" customHeight="1">
      <c r="A632" s="24"/>
      <c r="B632" s="34">
        <v>25.0</v>
      </c>
      <c r="C632" s="244">
        <v>46181.0</v>
      </c>
      <c r="D632" s="143"/>
      <c r="E632" s="143"/>
      <c r="F632" s="143"/>
      <c r="G632" s="143"/>
      <c r="H632" s="36" t="s">
        <v>668</v>
      </c>
      <c r="I632" s="36" t="s">
        <v>669</v>
      </c>
      <c r="J632" s="36" t="s">
        <v>48</v>
      </c>
      <c r="K632" s="36" t="s">
        <v>1148</v>
      </c>
      <c r="L632" s="56" t="s">
        <v>49</v>
      </c>
      <c r="M632" s="143"/>
      <c r="N632" s="143"/>
      <c r="O632" s="36">
        <v>297.0</v>
      </c>
      <c r="P632" s="40" t="s">
        <v>518</v>
      </c>
      <c r="Q632" s="40" t="s">
        <v>452</v>
      </c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ht="18.75" customHeight="1">
      <c r="A633" s="24"/>
      <c r="B633" s="34">
        <v>26.0</v>
      </c>
      <c r="C633" s="244">
        <v>46181.0</v>
      </c>
      <c r="D633" s="143"/>
      <c r="E633" s="143"/>
      <c r="F633" s="143"/>
      <c r="G633" s="143"/>
      <c r="H633" s="36" t="s">
        <v>1110</v>
      </c>
      <c r="I633" s="36" t="s">
        <v>1110</v>
      </c>
      <c r="J633" s="36" t="s">
        <v>1149</v>
      </c>
      <c r="K633" s="36" t="s">
        <v>1009</v>
      </c>
      <c r="L633" s="56" t="s">
        <v>49</v>
      </c>
      <c r="M633" s="143"/>
      <c r="N633" s="143"/>
      <c r="O633" s="36">
        <v>151.0</v>
      </c>
      <c r="P633" s="40" t="s">
        <v>462</v>
      </c>
      <c r="Q633" s="40" t="s">
        <v>452</v>
      </c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ht="15.75" customHeight="1">
      <c r="A634" s="24"/>
      <c r="B634" s="34">
        <v>27.0</v>
      </c>
      <c r="C634" s="293">
        <v>46182.0</v>
      </c>
      <c r="D634" s="143"/>
      <c r="E634" s="143"/>
      <c r="F634" s="143"/>
      <c r="G634" s="143"/>
      <c r="H634" s="36" t="s">
        <v>1150</v>
      </c>
      <c r="I634" s="36" t="s">
        <v>1150</v>
      </c>
      <c r="J634" s="36" t="s">
        <v>1151</v>
      </c>
      <c r="K634" s="36" t="s">
        <v>1112</v>
      </c>
      <c r="L634" s="56" t="s">
        <v>49</v>
      </c>
      <c r="M634" s="143"/>
      <c r="N634" s="143"/>
      <c r="O634" s="36">
        <v>200.0</v>
      </c>
      <c r="P634" s="40" t="s">
        <v>518</v>
      </c>
      <c r="Q634" s="40" t="s">
        <v>452</v>
      </c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ht="15.75" customHeight="1">
      <c r="A635" s="24"/>
      <c r="B635" s="34">
        <v>28.0</v>
      </c>
      <c r="C635" s="294">
        <v>46183.0</v>
      </c>
      <c r="D635" s="143"/>
      <c r="E635" s="143"/>
      <c r="F635" s="143"/>
      <c r="G635" s="143"/>
      <c r="H635" s="36" t="s">
        <v>298</v>
      </c>
      <c r="I635" s="36" t="s">
        <v>1152</v>
      </c>
      <c r="J635" s="36" t="s">
        <v>1153</v>
      </c>
      <c r="K635" s="143"/>
      <c r="L635" s="56" t="s">
        <v>49</v>
      </c>
      <c r="M635" s="143"/>
      <c r="N635" s="143"/>
      <c r="O635" s="143">
        <f>261*3</f>
        <v>783</v>
      </c>
      <c r="P635" s="40" t="s">
        <v>518</v>
      </c>
      <c r="Q635" s="40" t="s">
        <v>452</v>
      </c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ht="15.75" customHeight="1">
      <c r="A636" s="24"/>
      <c r="B636" s="34">
        <v>29.0</v>
      </c>
      <c r="C636" s="294">
        <v>46183.0</v>
      </c>
      <c r="D636" s="143"/>
      <c r="E636" s="143"/>
      <c r="F636" s="143"/>
      <c r="G636" s="143"/>
      <c r="H636" s="36" t="s">
        <v>1154</v>
      </c>
      <c r="I636" s="36" t="s">
        <v>1154</v>
      </c>
      <c r="J636" s="36" t="s">
        <v>576</v>
      </c>
      <c r="K636" s="36" t="s">
        <v>1155</v>
      </c>
      <c r="L636" s="56" t="s">
        <v>49</v>
      </c>
      <c r="M636" s="143"/>
      <c r="N636" s="143"/>
      <c r="O636" s="143">
        <f>197+67+30</f>
        <v>294</v>
      </c>
      <c r="P636" s="40" t="s">
        <v>518</v>
      </c>
      <c r="Q636" s="40" t="s">
        <v>452</v>
      </c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ht="15.75" customHeight="1">
      <c r="A637" s="24"/>
      <c r="B637" s="34">
        <v>30.0</v>
      </c>
      <c r="C637" s="294">
        <v>46183.0</v>
      </c>
      <c r="D637" s="143"/>
      <c r="E637" s="143"/>
      <c r="F637" s="143"/>
      <c r="G637" s="143"/>
      <c r="H637" s="36" t="s">
        <v>1156</v>
      </c>
      <c r="I637" s="36" t="s">
        <v>1156</v>
      </c>
      <c r="J637" s="36" t="s">
        <v>1157</v>
      </c>
      <c r="K637" s="36" t="s">
        <v>1158</v>
      </c>
      <c r="L637" s="56" t="s">
        <v>49</v>
      </c>
      <c r="M637" s="143"/>
      <c r="N637" s="143"/>
      <c r="O637" s="36">
        <v>320.0</v>
      </c>
      <c r="P637" s="40" t="s">
        <v>1159</v>
      </c>
      <c r="Q637" s="40" t="s">
        <v>452</v>
      </c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ht="15.75" customHeight="1">
      <c r="A638" s="24"/>
      <c r="B638" s="34">
        <v>31.0</v>
      </c>
      <c r="C638" s="294">
        <v>46183.0</v>
      </c>
      <c r="D638" s="143"/>
      <c r="E638" s="143"/>
      <c r="F638" s="143"/>
      <c r="G638" s="143"/>
      <c r="H638" s="36" t="s">
        <v>1028</v>
      </c>
      <c r="I638" s="36" t="s">
        <v>1028</v>
      </c>
      <c r="J638" s="36" t="s">
        <v>1160</v>
      </c>
      <c r="K638" s="36" t="s">
        <v>1161</v>
      </c>
      <c r="L638" s="56" t="s">
        <v>49</v>
      </c>
      <c r="M638" s="143"/>
      <c r="N638" s="143"/>
      <c r="O638" s="36">
        <v>94.0</v>
      </c>
      <c r="P638" s="40" t="s">
        <v>1159</v>
      </c>
      <c r="Q638" s="40" t="s">
        <v>586</v>
      </c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ht="21.0" customHeight="1">
      <c r="A639" s="24"/>
      <c r="B639" s="34">
        <v>32.0</v>
      </c>
      <c r="C639" s="294">
        <v>46183.0</v>
      </c>
      <c r="D639" s="143"/>
      <c r="E639" s="143"/>
      <c r="F639" s="143"/>
      <c r="G639" s="143"/>
      <c r="H639" s="36" t="s">
        <v>1110</v>
      </c>
      <c r="I639" s="36" t="s">
        <v>1110</v>
      </c>
      <c r="J639" s="36" t="s">
        <v>1149</v>
      </c>
      <c r="K639" s="36" t="s">
        <v>1161</v>
      </c>
      <c r="L639" s="56" t="s">
        <v>49</v>
      </c>
      <c r="M639" s="143"/>
      <c r="N639" s="143"/>
      <c r="O639" s="36">
        <v>10.0</v>
      </c>
      <c r="P639" s="40" t="s">
        <v>462</v>
      </c>
      <c r="Q639" s="40" t="s">
        <v>631</v>
      </c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ht="15.75" customHeight="1">
      <c r="A640" s="24"/>
      <c r="B640" s="34">
        <v>33.0</v>
      </c>
      <c r="C640" s="294">
        <v>46183.0</v>
      </c>
      <c r="D640" s="143"/>
      <c r="E640" s="143"/>
      <c r="F640" s="143"/>
      <c r="G640" s="143"/>
      <c r="H640" s="36" t="s">
        <v>1162</v>
      </c>
      <c r="I640" s="36" t="s">
        <v>629</v>
      </c>
      <c r="J640" s="36" t="s">
        <v>1163</v>
      </c>
      <c r="K640" s="36" t="s">
        <v>629</v>
      </c>
      <c r="L640" s="56" t="s">
        <v>84</v>
      </c>
      <c r="M640" s="143"/>
      <c r="N640" s="143"/>
      <c r="O640" s="36">
        <v>60.0</v>
      </c>
      <c r="P640" s="40" t="s">
        <v>462</v>
      </c>
      <c r="Q640" s="40" t="s">
        <v>452</v>
      </c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ht="15.75" customHeight="1">
      <c r="A641" s="24"/>
      <c r="B641" s="34">
        <v>34.0</v>
      </c>
      <c r="C641" s="294">
        <v>46183.0</v>
      </c>
      <c r="D641" s="143"/>
      <c r="E641" s="143"/>
      <c r="F641" s="143"/>
      <c r="G641" s="143"/>
      <c r="H641" s="36" t="s">
        <v>1164</v>
      </c>
      <c r="I641" s="36" t="s">
        <v>1165</v>
      </c>
      <c r="J641" s="36" t="s">
        <v>1166</v>
      </c>
      <c r="K641" s="36" t="s">
        <v>1167</v>
      </c>
      <c r="L641" s="56" t="s">
        <v>49</v>
      </c>
      <c r="M641" s="143"/>
      <c r="N641" s="143"/>
      <c r="O641" s="36">
        <v>97.0</v>
      </c>
      <c r="P641" s="40" t="s">
        <v>518</v>
      </c>
      <c r="Q641" s="40" t="s">
        <v>573</v>
      </c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ht="15.75" customHeight="1">
      <c r="A642" s="24"/>
      <c r="B642" s="34">
        <v>35.0</v>
      </c>
      <c r="C642" s="295">
        <v>46184.0</v>
      </c>
      <c r="D642" s="143"/>
      <c r="E642" s="143"/>
      <c r="F642" s="143"/>
      <c r="G642" s="143"/>
      <c r="H642" s="36" t="s">
        <v>948</v>
      </c>
      <c r="I642" s="36" t="s">
        <v>875</v>
      </c>
      <c r="J642" s="36" t="s">
        <v>1168</v>
      </c>
      <c r="K642" s="36" t="s">
        <v>1169</v>
      </c>
      <c r="L642" s="56" t="s">
        <v>49</v>
      </c>
      <c r="M642" s="143"/>
      <c r="N642" s="143"/>
      <c r="O642" s="36">
        <v>32.5</v>
      </c>
      <c r="P642" s="40" t="s">
        <v>518</v>
      </c>
      <c r="Q642" s="40" t="s">
        <v>586</v>
      </c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ht="15.75" customHeight="1">
      <c r="A643" s="24"/>
      <c r="B643" s="34">
        <v>36.0</v>
      </c>
      <c r="C643" s="295">
        <v>46184.0</v>
      </c>
      <c r="D643" s="36">
        <v>3.0</v>
      </c>
      <c r="E643" s="36" t="s">
        <v>67</v>
      </c>
      <c r="F643" s="36">
        <v>78.0</v>
      </c>
      <c r="G643" s="36">
        <v>1.8067813E7</v>
      </c>
      <c r="H643" s="36" t="s">
        <v>1170</v>
      </c>
      <c r="I643" s="36" t="s">
        <v>1171</v>
      </c>
      <c r="J643" s="36" t="s">
        <v>1172</v>
      </c>
      <c r="K643" s="36" t="s">
        <v>1173</v>
      </c>
      <c r="L643" s="56" t="s">
        <v>49</v>
      </c>
      <c r="M643" s="143"/>
      <c r="N643" s="143"/>
      <c r="O643" s="36">
        <v>294.0</v>
      </c>
      <c r="P643" s="40" t="s">
        <v>1159</v>
      </c>
      <c r="Q643" s="40" t="s">
        <v>452</v>
      </c>
      <c r="R643" s="23"/>
      <c r="S643" s="60">
        <v>294.0</v>
      </c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ht="15.75" customHeight="1">
      <c r="A644" s="24"/>
      <c r="B644" s="34">
        <v>37.0</v>
      </c>
      <c r="C644" s="295">
        <v>46184.0</v>
      </c>
      <c r="D644" s="36">
        <v>3.0</v>
      </c>
      <c r="E644" s="36" t="s">
        <v>67</v>
      </c>
      <c r="F644" s="36">
        <v>78.0</v>
      </c>
      <c r="G644" s="36">
        <v>1.8067813E7</v>
      </c>
      <c r="H644" s="36" t="s">
        <v>1170</v>
      </c>
      <c r="I644" s="36" t="s">
        <v>1174</v>
      </c>
      <c r="J644" s="36" t="s">
        <v>1172</v>
      </c>
      <c r="K644" s="36" t="s">
        <v>1175</v>
      </c>
      <c r="L644" s="56" t="s">
        <v>49</v>
      </c>
      <c r="M644" s="143"/>
      <c r="N644" s="143"/>
      <c r="O644" s="36">
        <v>294.0</v>
      </c>
      <c r="P644" s="40" t="s">
        <v>1159</v>
      </c>
      <c r="Q644" s="40" t="s">
        <v>452</v>
      </c>
      <c r="R644" s="23"/>
      <c r="S644" s="60">
        <v>294.0</v>
      </c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ht="15.75" customHeight="1">
      <c r="A645" s="24"/>
      <c r="B645" s="34">
        <v>38.0</v>
      </c>
      <c r="C645" s="295">
        <v>46184.0</v>
      </c>
      <c r="D645" s="143"/>
      <c r="E645" s="143"/>
      <c r="F645" s="143"/>
      <c r="G645" s="143"/>
      <c r="H645" s="36" t="s">
        <v>1176</v>
      </c>
      <c r="I645" s="36" t="s">
        <v>1176</v>
      </c>
      <c r="J645" s="36" t="s">
        <v>1177</v>
      </c>
      <c r="K645" s="36" t="s">
        <v>1161</v>
      </c>
      <c r="L645" s="56" t="s">
        <v>49</v>
      </c>
      <c r="M645" s="143"/>
      <c r="N645" s="143"/>
      <c r="O645" s="36">
        <v>100.0</v>
      </c>
      <c r="P645" s="40" t="s">
        <v>1159</v>
      </c>
      <c r="Q645" s="40" t="s">
        <v>631</v>
      </c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ht="15.75" customHeight="1">
      <c r="A646" s="24"/>
      <c r="B646" s="34">
        <v>39.0</v>
      </c>
      <c r="C646" s="296">
        <v>46185.0</v>
      </c>
      <c r="D646" s="143"/>
      <c r="E646" s="143"/>
      <c r="F646" s="143"/>
      <c r="G646" s="143"/>
      <c r="H646" s="36" t="s">
        <v>1178</v>
      </c>
      <c r="I646" s="36" t="s">
        <v>629</v>
      </c>
      <c r="J646" s="36" t="s">
        <v>1179</v>
      </c>
      <c r="K646" s="36" t="s">
        <v>1180</v>
      </c>
      <c r="L646" s="56" t="s">
        <v>84</v>
      </c>
      <c r="M646" s="143"/>
      <c r="N646" s="143"/>
      <c r="O646" s="36">
        <v>60.0</v>
      </c>
      <c r="P646" s="40" t="s">
        <v>1159</v>
      </c>
      <c r="Q646" s="40" t="s">
        <v>452</v>
      </c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ht="15.75" customHeight="1">
      <c r="A647" s="24"/>
      <c r="B647" s="34">
        <v>40.0</v>
      </c>
      <c r="C647" s="296">
        <v>46185.0</v>
      </c>
      <c r="D647" s="143"/>
      <c r="E647" s="143"/>
      <c r="F647" s="143"/>
      <c r="G647" s="143"/>
      <c r="H647" s="36" t="s">
        <v>1181</v>
      </c>
      <c r="I647" s="36" t="s">
        <v>1182</v>
      </c>
      <c r="J647" s="36" t="s">
        <v>1183</v>
      </c>
      <c r="K647" s="36" t="s">
        <v>1184</v>
      </c>
      <c r="L647" s="56" t="s">
        <v>49</v>
      </c>
      <c r="M647" s="143"/>
      <c r="N647" s="143"/>
      <c r="O647" s="36">
        <v>97.0</v>
      </c>
      <c r="P647" s="40" t="s">
        <v>1159</v>
      </c>
      <c r="Q647" s="40" t="s">
        <v>452</v>
      </c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ht="15.75" customHeight="1">
      <c r="A648" s="24"/>
      <c r="B648" s="34">
        <v>41.0</v>
      </c>
      <c r="C648" s="296">
        <v>46185.0</v>
      </c>
      <c r="D648" s="143"/>
      <c r="E648" s="143"/>
      <c r="F648" s="143"/>
      <c r="G648" s="143"/>
      <c r="H648" s="36" t="s">
        <v>1185</v>
      </c>
      <c r="I648" s="36" t="s">
        <v>1186</v>
      </c>
      <c r="J648" s="36" t="s">
        <v>1187</v>
      </c>
      <c r="K648" s="36" t="s">
        <v>1167</v>
      </c>
      <c r="L648" s="56" t="s">
        <v>49</v>
      </c>
      <c r="M648" s="143"/>
      <c r="N648" s="143"/>
      <c r="O648" s="36">
        <v>97.0</v>
      </c>
      <c r="P648" s="40" t="s">
        <v>1159</v>
      </c>
      <c r="Q648" s="40" t="s">
        <v>586</v>
      </c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ht="15.75" customHeight="1">
      <c r="A649" s="24"/>
      <c r="B649" s="34">
        <v>42.0</v>
      </c>
      <c r="C649" s="296">
        <v>46185.0</v>
      </c>
      <c r="D649" s="143"/>
      <c r="E649" s="143"/>
      <c r="F649" s="143"/>
      <c r="G649" s="143"/>
      <c r="H649" s="36" t="s">
        <v>1188</v>
      </c>
      <c r="I649" s="36" t="s">
        <v>1189</v>
      </c>
      <c r="J649" s="36" t="s">
        <v>1190</v>
      </c>
      <c r="K649" s="36" t="s">
        <v>1191</v>
      </c>
      <c r="L649" s="56" t="s">
        <v>49</v>
      </c>
      <c r="M649" s="143"/>
      <c r="N649" s="143"/>
      <c r="O649" s="36">
        <v>30.0</v>
      </c>
      <c r="P649" s="40" t="s">
        <v>1159</v>
      </c>
      <c r="Q649" s="40" t="s">
        <v>452</v>
      </c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ht="15.75" customHeight="1">
      <c r="A650" s="24"/>
      <c r="B650" s="34">
        <v>43.0</v>
      </c>
      <c r="C650" s="296">
        <v>46185.0</v>
      </c>
      <c r="D650" s="143"/>
      <c r="E650" s="143"/>
      <c r="F650" s="143"/>
      <c r="G650" s="143"/>
      <c r="H650" s="36" t="s">
        <v>1188</v>
      </c>
      <c r="I650" s="36" t="s">
        <v>1192</v>
      </c>
      <c r="J650" s="36" t="s">
        <v>1190</v>
      </c>
      <c r="K650" s="36" t="s">
        <v>1142</v>
      </c>
      <c r="L650" s="56" t="s">
        <v>49</v>
      </c>
      <c r="M650" s="143"/>
      <c r="N650" s="143"/>
      <c r="O650" s="36">
        <v>30.0</v>
      </c>
      <c r="P650" s="40" t="s">
        <v>1159</v>
      </c>
      <c r="Q650" s="40" t="s">
        <v>452</v>
      </c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ht="15.75" customHeight="1">
      <c r="A651" s="24"/>
      <c r="B651" s="34">
        <v>44.0</v>
      </c>
      <c r="C651" s="296">
        <v>46185.0</v>
      </c>
      <c r="D651" s="143"/>
      <c r="E651" s="143"/>
      <c r="F651" s="143"/>
      <c r="G651" s="143"/>
      <c r="H651" s="36" t="s">
        <v>1193</v>
      </c>
      <c r="I651" s="36" t="s">
        <v>1193</v>
      </c>
      <c r="J651" s="36" t="s">
        <v>1194</v>
      </c>
      <c r="K651" s="36" t="s">
        <v>1195</v>
      </c>
      <c r="L651" s="56" t="s">
        <v>84</v>
      </c>
      <c r="M651" s="143"/>
      <c r="N651" s="143"/>
      <c r="O651" s="36">
        <v>7.0</v>
      </c>
      <c r="P651" s="40" t="s">
        <v>1159</v>
      </c>
      <c r="Q651" s="40" t="s">
        <v>452</v>
      </c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ht="15.75" customHeight="1">
      <c r="A652" s="24"/>
      <c r="B652" s="34">
        <v>45.0</v>
      </c>
      <c r="C652" s="276">
        <v>46186.0</v>
      </c>
      <c r="D652" s="143"/>
      <c r="E652" s="143"/>
      <c r="F652" s="143"/>
      <c r="G652" s="143"/>
      <c r="H652" s="36" t="s">
        <v>1196</v>
      </c>
      <c r="I652" s="36" t="s">
        <v>445</v>
      </c>
      <c r="J652" s="36" t="s">
        <v>1197</v>
      </c>
      <c r="K652" s="36" t="s">
        <v>1198</v>
      </c>
      <c r="L652" s="56" t="s">
        <v>49</v>
      </c>
      <c r="M652" s="143"/>
      <c r="N652" s="143"/>
      <c r="O652" s="36">
        <v>197.0</v>
      </c>
      <c r="P652" s="40" t="s">
        <v>1159</v>
      </c>
      <c r="Q652" s="40" t="s">
        <v>452</v>
      </c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ht="15.75" customHeight="1">
      <c r="A653" s="24"/>
      <c r="B653" s="34">
        <v>46.0</v>
      </c>
      <c r="C653" s="276">
        <v>46186.0</v>
      </c>
      <c r="D653" s="36">
        <v>3.0</v>
      </c>
      <c r="E653" s="36" t="s">
        <v>67</v>
      </c>
      <c r="F653" s="36">
        <v>90.0</v>
      </c>
      <c r="G653" s="143"/>
      <c r="H653" s="36" t="s">
        <v>1181</v>
      </c>
      <c r="I653" s="36" t="s">
        <v>1182</v>
      </c>
      <c r="J653" s="36" t="s">
        <v>1199</v>
      </c>
      <c r="K653" s="36" t="s">
        <v>1184</v>
      </c>
      <c r="L653" s="56" t="s">
        <v>49</v>
      </c>
      <c r="M653" s="143"/>
      <c r="N653" s="143"/>
      <c r="O653" s="36">
        <v>197.0</v>
      </c>
      <c r="P653" s="40" t="s">
        <v>1159</v>
      </c>
      <c r="Q653" s="40" t="s">
        <v>452</v>
      </c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ht="15.75" customHeight="1">
      <c r="A654" s="24"/>
      <c r="B654" s="34">
        <v>47.0</v>
      </c>
      <c r="C654" s="276">
        <v>46186.0</v>
      </c>
      <c r="D654" s="143"/>
      <c r="E654" s="143"/>
      <c r="F654" s="143"/>
      <c r="G654" s="143"/>
      <c r="H654" s="36" t="s">
        <v>156</v>
      </c>
      <c r="I654" s="143"/>
      <c r="J654" s="36" t="s">
        <v>1200</v>
      </c>
      <c r="K654" s="143"/>
      <c r="L654" s="56" t="s">
        <v>84</v>
      </c>
      <c r="M654" s="143"/>
      <c r="N654" s="143"/>
      <c r="O654" s="36">
        <v>30.0</v>
      </c>
      <c r="P654" s="40" t="s">
        <v>462</v>
      </c>
      <c r="Q654" s="40" t="s">
        <v>631</v>
      </c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ht="15.75" customHeight="1">
      <c r="A655" s="24"/>
      <c r="B655" s="34">
        <v>48.0</v>
      </c>
      <c r="C655" s="229">
        <v>46188.0</v>
      </c>
      <c r="D655" s="143"/>
      <c r="E655" s="143"/>
      <c r="F655" s="143"/>
      <c r="G655" s="143"/>
      <c r="H655" s="36" t="s">
        <v>886</v>
      </c>
      <c r="I655" s="36" t="s">
        <v>886</v>
      </c>
      <c r="J655" s="36" t="s">
        <v>1201</v>
      </c>
      <c r="K655" s="36" t="s">
        <v>1202</v>
      </c>
      <c r="L655" s="56" t="s">
        <v>84</v>
      </c>
      <c r="M655" s="143"/>
      <c r="N655" s="143"/>
      <c r="O655" s="36">
        <v>50.0</v>
      </c>
      <c r="P655" s="40" t="s">
        <v>518</v>
      </c>
      <c r="Q655" s="40" t="s">
        <v>586</v>
      </c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ht="15.75" customHeight="1">
      <c r="A656" s="24"/>
      <c r="B656" s="34">
        <v>49.0</v>
      </c>
      <c r="C656" s="229">
        <v>46188.0</v>
      </c>
      <c r="D656" s="143"/>
      <c r="E656" s="143"/>
      <c r="F656" s="143"/>
      <c r="G656" s="143"/>
      <c r="H656" s="36" t="s">
        <v>970</v>
      </c>
      <c r="I656" s="36" t="s">
        <v>971</v>
      </c>
      <c r="J656" s="36" t="s">
        <v>1199</v>
      </c>
      <c r="K656" s="36" t="s">
        <v>506</v>
      </c>
      <c r="L656" s="56" t="s">
        <v>49</v>
      </c>
      <c r="M656" s="143"/>
      <c r="N656" s="143"/>
      <c r="O656" s="36">
        <v>329.0</v>
      </c>
      <c r="P656" s="40" t="s">
        <v>1159</v>
      </c>
      <c r="Q656" s="40" t="s">
        <v>253</v>
      </c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ht="15.75" customHeight="1">
      <c r="A657" s="24"/>
      <c r="B657" s="34">
        <v>50.0</v>
      </c>
      <c r="C657" s="229">
        <v>46188.0</v>
      </c>
      <c r="D657" s="143"/>
      <c r="E657" s="143"/>
      <c r="F657" s="143"/>
      <c r="G657" s="143"/>
      <c r="H657" s="36" t="s">
        <v>1164</v>
      </c>
      <c r="I657" s="36" t="s">
        <v>1165</v>
      </c>
      <c r="J657" s="36" t="s">
        <v>1199</v>
      </c>
      <c r="K657" s="36" t="s">
        <v>1203</v>
      </c>
      <c r="L657" s="56" t="s">
        <v>49</v>
      </c>
      <c r="M657" s="143"/>
      <c r="N657" s="143"/>
      <c r="O657" s="36">
        <v>197.0</v>
      </c>
      <c r="P657" s="40" t="s">
        <v>1159</v>
      </c>
      <c r="Q657" s="40" t="s">
        <v>452</v>
      </c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ht="15.75" customHeight="1">
      <c r="A658" s="24"/>
      <c r="B658" s="34">
        <v>51.0</v>
      </c>
      <c r="C658" s="229">
        <v>46188.0</v>
      </c>
      <c r="D658" s="143"/>
      <c r="E658" s="143"/>
      <c r="F658" s="143"/>
      <c r="G658" s="143"/>
      <c r="H658" s="36" t="s">
        <v>1204</v>
      </c>
      <c r="I658" s="36" t="s">
        <v>1205</v>
      </c>
      <c r="J658" s="36" t="s">
        <v>1206</v>
      </c>
      <c r="K658" s="36" t="s">
        <v>944</v>
      </c>
      <c r="L658" s="56" t="s">
        <v>49</v>
      </c>
      <c r="M658" s="143"/>
      <c r="N658" s="143"/>
      <c r="O658" s="36">
        <v>294.0</v>
      </c>
      <c r="P658" s="40" t="s">
        <v>462</v>
      </c>
      <c r="Q658" s="40" t="s">
        <v>631</v>
      </c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ht="15.75" customHeight="1">
      <c r="A659" s="24"/>
      <c r="B659" s="34">
        <v>52.0</v>
      </c>
      <c r="C659" s="229">
        <v>46188.0</v>
      </c>
      <c r="D659" s="143"/>
      <c r="E659" s="143"/>
      <c r="F659" s="143"/>
      <c r="G659" s="143"/>
      <c r="H659" s="36" t="s">
        <v>1207</v>
      </c>
      <c r="I659" s="36" t="s">
        <v>884</v>
      </c>
      <c r="J659" s="36" t="s">
        <v>1208</v>
      </c>
      <c r="K659" s="36"/>
      <c r="L659" s="56" t="s">
        <v>84</v>
      </c>
      <c r="M659" s="143"/>
      <c r="N659" s="143"/>
      <c r="O659" s="36">
        <v>35.0</v>
      </c>
      <c r="P659" s="40" t="s">
        <v>462</v>
      </c>
      <c r="Q659" s="40" t="s">
        <v>631</v>
      </c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ht="15.75" customHeight="1">
      <c r="A660" s="24"/>
      <c r="B660" s="34">
        <v>53.0</v>
      </c>
      <c r="C660" s="273">
        <v>46189.0</v>
      </c>
      <c r="D660" s="143"/>
      <c r="E660" s="143"/>
      <c r="F660" s="143"/>
      <c r="G660" s="143"/>
      <c r="H660" s="36" t="s">
        <v>1209</v>
      </c>
      <c r="I660" s="36" t="s">
        <v>1210</v>
      </c>
      <c r="J660" s="36" t="s">
        <v>1211</v>
      </c>
      <c r="K660" s="36" t="s">
        <v>1191</v>
      </c>
      <c r="L660" s="56" t="s">
        <v>49</v>
      </c>
      <c r="M660" s="143"/>
      <c r="N660" s="143"/>
      <c r="O660" s="36">
        <v>30.0</v>
      </c>
      <c r="P660" s="40" t="s">
        <v>462</v>
      </c>
      <c r="Q660" s="40" t="s">
        <v>573</v>
      </c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ht="15.75" customHeight="1">
      <c r="A661" s="24"/>
      <c r="B661" s="34">
        <v>54.0</v>
      </c>
      <c r="C661" s="273">
        <v>46189.0</v>
      </c>
      <c r="D661" s="143"/>
      <c r="E661" s="143"/>
      <c r="F661" s="143"/>
      <c r="G661" s="143"/>
      <c r="H661" s="36" t="s">
        <v>886</v>
      </c>
      <c r="I661" s="36" t="s">
        <v>629</v>
      </c>
      <c r="J661" s="36" t="s">
        <v>1212</v>
      </c>
      <c r="K661" s="36" t="s">
        <v>884</v>
      </c>
      <c r="L661" s="56" t="s">
        <v>84</v>
      </c>
      <c r="M661" s="143"/>
      <c r="N661" s="143"/>
      <c r="O661" s="36">
        <v>45.0</v>
      </c>
      <c r="P661" s="40" t="s">
        <v>462</v>
      </c>
      <c r="Q661" s="40" t="s">
        <v>452</v>
      </c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ht="15.75" customHeight="1">
      <c r="A662" s="24"/>
      <c r="B662" s="34">
        <v>55.0</v>
      </c>
      <c r="C662" s="273">
        <v>46189.0</v>
      </c>
      <c r="D662" s="143"/>
      <c r="E662" s="143"/>
      <c r="F662" s="143"/>
      <c r="G662" s="143"/>
      <c r="H662" s="36" t="s">
        <v>1213</v>
      </c>
      <c r="I662" s="36" t="s">
        <v>875</v>
      </c>
      <c r="J662" s="36" t="s">
        <v>949</v>
      </c>
      <c r="K662" s="36" t="s">
        <v>1214</v>
      </c>
      <c r="L662" s="56" t="s">
        <v>49</v>
      </c>
      <c r="M662" s="143"/>
      <c r="N662" s="143"/>
      <c r="O662" s="208" t="s">
        <v>1215</v>
      </c>
      <c r="P662" s="40" t="s">
        <v>518</v>
      </c>
      <c r="Q662" s="40" t="s">
        <v>586</v>
      </c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ht="15.75" customHeight="1">
      <c r="A663" s="24"/>
      <c r="B663" s="34">
        <v>56.0</v>
      </c>
      <c r="C663" s="273">
        <v>46189.0</v>
      </c>
      <c r="D663" s="143"/>
      <c r="E663" s="143"/>
      <c r="F663" s="143"/>
      <c r="G663" s="143"/>
      <c r="H663" s="36" t="s">
        <v>1216</v>
      </c>
      <c r="I663" s="36" t="s">
        <v>1217</v>
      </c>
      <c r="J663" s="36" t="s">
        <v>1199</v>
      </c>
      <c r="K663" s="36" t="s">
        <v>1203</v>
      </c>
      <c r="L663" s="56" t="s">
        <v>49</v>
      </c>
      <c r="M663" s="143"/>
      <c r="N663" s="143"/>
      <c r="O663" s="36">
        <v>157.0</v>
      </c>
      <c r="P663" s="40" t="s">
        <v>1159</v>
      </c>
      <c r="Q663" s="40" t="s">
        <v>452</v>
      </c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ht="15.75" customHeight="1">
      <c r="A664" s="24"/>
      <c r="B664" s="34">
        <v>57.0</v>
      </c>
      <c r="C664" s="273">
        <v>46189.0</v>
      </c>
      <c r="D664" s="36">
        <v>3.0</v>
      </c>
      <c r="E664" s="36" t="s">
        <v>67</v>
      </c>
      <c r="F664" s="36">
        <v>88.0</v>
      </c>
      <c r="G664" s="143"/>
      <c r="H664" s="36" t="s">
        <v>1185</v>
      </c>
      <c r="I664" s="36" t="s">
        <v>1186</v>
      </c>
      <c r="J664" s="36" t="s">
        <v>1199</v>
      </c>
      <c r="K664" s="36" t="s">
        <v>1203</v>
      </c>
      <c r="L664" s="56" t="s">
        <v>49</v>
      </c>
      <c r="M664" s="143"/>
      <c r="N664" s="143"/>
      <c r="O664" s="36">
        <v>197.0</v>
      </c>
      <c r="P664" s="40" t="s">
        <v>1159</v>
      </c>
      <c r="Q664" s="40" t="s">
        <v>452</v>
      </c>
      <c r="R664" s="23"/>
      <c r="S664" s="60"/>
      <c r="T664" s="23"/>
      <c r="U664" s="60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ht="15.75" customHeight="1">
      <c r="A665" s="24"/>
      <c r="B665" s="34">
        <v>58.0</v>
      </c>
      <c r="C665" s="273">
        <v>46189.0</v>
      </c>
      <c r="D665" s="143"/>
      <c r="E665" s="143"/>
      <c r="F665" s="143"/>
      <c r="G665" s="143"/>
      <c r="H665" s="36" t="s">
        <v>1218</v>
      </c>
      <c r="I665" s="36" t="s">
        <v>1219</v>
      </c>
      <c r="J665" s="36" t="s">
        <v>1220</v>
      </c>
      <c r="K665" s="36" t="s">
        <v>1214</v>
      </c>
      <c r="L665" s="56" t="s">
        <v>49</v>
      </c>
      <c r="M665" s="143"/>
      <c r="N665" s="143"/>
      <c r="O665" s="36">
        <v>97.0</v>
      </c>
      <c r="P665" s="40" t="s">
        <v>462</v>
      </c>
      <c r="Q665" s="40" t="s">
        <v>452</v>
      </c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ht="15.75" customHeight="1">
      <c r="A666" s="24"/>
      <c r="B666" s="34">
        <v>59.0</v>
      </c>
      <c r="C666" s="297">
        <v>46191.0</v>
      </c>
      <c r="D666" s="143"/>
      <c r="E666" s="143"/>
      <c r="F666" s="143"/>
      <c r="G666" s="143"/>
      <c r="H666" s="36" t="s">
        <v>835</v>
      </c>
      <c r="I666" s="36" t="s">
        <v>979</v>
      </c>
      <c r="J666" s="36" t="s">
        <v>1199</v>
      </c>
      <c r="K666" s="36" t="s">
        <v>1221</v>
      </c>
      <c r="L666" s="56" t="s">
        <v>49</v>
      </c>
      <c r="M666" s="143"/>
      <c r="N666" s="143"/>
      <c r="O666" s="36">
        <v>297.0</v>
      </c>
      <c r="P666" s="40" t="s">
        <v>1159</v>
      </c>
      <c r="Q666" s="40" t="s">
        <v>452</v>
      </c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ht="15.75" customHeight="1">
      <c r="A667" s="24"/>
      <c r="B667" s="34">
        <v>60.0</v>
      </c>
      <c r="C667" s="297">
        <v>46191.0</v>
      </c>
      <c r="D667" s="143"/>
      <c r="E667" s="143"/>
      <c r="F667" s="143"/>
      <c r="G667" s="143"/>
      <c r="H667" s="36" t="s">
        <v>1222</v>
      </c>
      <c r="I667" s="36" t="s">
        <v>1222</v>
      </c>
      <c r="J667" s="36" t="s">
        <v>1223</v>
      </c>
      <c r="K667" s="36" t="s">
        <v>1191</v>
      </c>
      <c r="L667" s="56" t="s">
        <v>49</v>
      </c>
      <c r="M667" s="143"/>
      <c r="N667" s="143"/>
      <c r="O667" s="36">
        <v>30.0</v>
      </c>
      <c r="P667" s="40" t="s">
        <v>1159</v>
      </c>
      <c r="Q667" s="40" t="s">
        <v>631</v>
      </c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ht="15.75" customHeight="1">
      <c r="A668" s="24"/>
      <c r="B668" s="34">
        <v>61.0</v>
      </c>
      <c r="C668" s="297">
        <v>46191.0</v>
      </c>
      <c r="D668" s="143"/>
      <c r="E668" s="143"/>
      <c r="F668" s="143"/>
      <c r="G668" s="143"/>
      <c r="H668" s="36" t="s">
        <v>1224</v>
      </c>
      <c r="I668" s="36" t="s">
        <v>708</v>
      </c>
      <c r="J668" s="36" t="s">
        <v>1199</v>
      </c>
      <c r="K668" s="36" t="s">
        <v>1203</v>
      </c>
      <c r="L668" s="56" t="s">
        <v>49</v>
      </c>
      <c r="M668" s="143"/>
      <c r="N668" s="143"/>
      <c r="O668" s="36">
        <v>297.0</v>
      </c>
      <c r="P668" s="40" t="s">
        <v>1159</v>
      </c>
      <c r="Q668" s="40" t="s">
        <v>253</v>
      </c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ht="15.75" customHeight="1">
      <c r="A669" s="24"/>
      <c r="B669" s="34">
        <v>62.0</v>
      </c>
      <c r="C669" s="297">
        <v>46191.0</v>
      </c>
      <c r="D669" s="143"/>
      <c r="E669" s="143"/>
      <c r="F669" s="143"/>
      <c r="G669" s="143"/>
      <c r="H669" s="36" t="s">
        <v>1150</v>
      </c>
      <c r="I669" s="36" t="s">
        <v>1150</v>
      </c>
      <c r="J669" s="36" t="s">
        <v>1199</v>
      </c>
      <c r="K669" s="36" t="s">
        <v>1198</v>
      </c>
      <c r="L669" s="56" t="s">
        <v>49</v>
      </c>
      <c r="M669" s="143"/>
      <c r="N669" s="143"/>
      <c r="O669" s="36">
        <v>97.0</v>
      </c>
      <c r="P669" s="40" t="s">
        <v>1159</v>
      </c>
      <c r="Q669" s="40" t="s">
        <v>631</v>
      </c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ht="15.75" customHeight="1">
      <c r="A670" s="24"/>
      <c r="B670" s="34">
        <v>63.0</v>
      </c>
      <c r="C670" s="297">
        <v>46191.0</v>
      </c>
      <c r="D670" s="143"/>
      <c r="E670" s="143"/>
      <c r="F670" s="143"/>
      <c r="G670" s="143"/>
      <c r="H670" s="36" t="s">
        <v>1225</v>
      </c>
      <c r="I670" s="36"/>
      <c r="J670" s="36" t="s">
        <v>1226</v>
      </c>
      <c r="K670" s="36"/>
      <c r="L670" s="56" t="s">
        <v>49</v>
      </c>
      <c r="M670" s="143"/>
      <c r="N670" s="143"/>
      <c r="O670" s="91">
        <v>50.0</v>
      </c>
      <c r="P670" s="40" t="s">
        <v>462</v>
      </c>
      <c r="Q670" s="40" t="s">
        <v>452</v>
      </c>
      <c r="R670" s="23"/>
      <c r="S670" s="95"/>
      <c r="T670" s="23"/>
      <c r="U670" s="95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ht="15.75" customHeight="1">
      <c r="A671" s="24"/>
      <c r="B671" s="34">
        <v>64.0</v>
      </c>
      <c r="C671" s="298">
        <v>46192.0</v>
      </c>
      <c r="D671" s="143"/>
      <c r="E671" s="143"/>
      <c r="F671" s="143"/>
      <c r="G671" s="143"/>
      <c r="H671" s="36" t="s">
        <v>844</v>
      </c>
      <c r="I671" s="36" t="s">
        <v>845</v>
      </c>
      <c r="J671" s="36" t="s">
        <v>1227</v>
      </c>
      <c r="K671" s="36" t="s">
        <v>1198</v>
      </c>
      <c r="L671" s="56" t="s">
        <v>49</v>
      </c>
      <c r="M671" s="143"/>
      <c r="N671" s="143"/>
      <c r="O671" s="299" t="s">
        <v>1228</v>
      </c>
      <c r="P671" s="40" t="s">
        <v>1159</v>
      </c>
      <c r="Q671" s="40" t="s">
        <v>586</v>
      </c>
      <c r="R671" s="23"/>
      <c r="S671" s="95"/>
      <c r="T671" s="23"/>
      <c r="U671" s="95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ht="15.75" customHeight="1">
      <c r="A672" s="24"/>
      <c r="B672" s="34">
        <v>65.0</v>
      </c>
      <c r="C672" s="298">
        <v>46192.0</v>
      </c>
      <c r="D672" s="36">
        <v>3.0</v>
      </c>
      <c r="E672" s="36" t="s">
        <v>67</v>
      </c>
      <c r="F672" s="36">
        <v>83.0</v>
      </c>
      <c r="G672" s="36">
        <v>4.2784151E7</v>
      </c>
      <c r="H672" s="36" t="s">
        <v>1229</v>
      </c>
      <c r="I672" s="36" t="s">
        <v>1230</v>
      </c>
      <c r="J672" s="36" t="s">
        <v>1231</v>
      </c>
      <c r="K672" s="36" t="s">
        <v>1232</v>
      </c>
      <c r="L672" s="56" t="s">
        <v>49</v>
      </c>
      <c r="M672" s="143"/>
      <c r="N672" s="143"/>
      <c r="O672" s="91">
        <v>947.0</v>
      </c>
      <c r="P672" s="40" t="s">
        <v>518</v>
      </c>
      <c r="Q672" s="40" t="s">
        <v>253</v>
      </c>
      <c r="R672" s="23"/>
      <c r="S672" s="195">
        <v>947.0</v>
      </c>
      <c r="T672" s="23"/>
      <c r="U672" s="195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ht="15.75" customHeight="1">
      <c r="A673" s="24"/>
      <c r="B673" s="34">
        <v>66.0</v>
      </c>
      <c r="C673" s="298">
        <v>46192.0</v>
      </c>
      <c r="D673" s="143"/>
      <c r="E673" s="143"/>
      <c r="F673" s="143"/>
      <c r="G673" s="143"/>
      <c r="H673" s="36" t="s">
        <v>1225</v>
      </c>
      <c r="I673" s="36" t="s">
        <v>952</v>
      </c>
      <c r="J673" s="36" t="s">
        <v>1233</v>
      </c>
      <c r="K673" s="36"/>
      <c r="L673" s="56" t="s">
        <v>84</v>
      </c>
      <c r="M673" s="143"/>
      <c r="N673" s="143"/>
      <c r="O673" s="91">
        <v>50.0</v>
      </c>
      <c r="P673" s="40" t="s">
        <v>518</v>
      </c>
      <c r="Q673" s="40" t="s">
        <v>452</v>
      </c>
      <c r="R673" s="23"/>
      <c r="S673" s="95"/>
      <c r="T673" s="23"/>
      <c r="U673" s="95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ht="15.75" customHeight="1">
      <c r="A674" s="24"/>
      <c r="B674" s="34">
        <v>67.0</v>
      </c>
      <c r="C674" s="298">
        <v>46192.0</v>
      </c>
      <c r="D674" s="143"/>
      <c r="E674" s="143"/>
      <c r="F674" s="143"/>
      <c r="G674" s="143"/>
      <c r="H674" s="36" t="s">
        <v>912</v>
      </c>
      <c r="I674" s="36" t="s">
        <v>1234</v>
      </c>
      <c r="J674" s="36" t="s">
        <v>1235</v>
      </c>
      <c r="K674" s="36"/>
      <c r="L674" s="56" t="s">
        <v>84</v>
      </c>
      <c r="M674" s="143"/>
      <c r="N674" s="143"/>
      <c r="O674" s="91">
        <v>65.0</v>
      </c>
      <c r="P674" s="40" t="s">
        <v>518</v>
      </c>
      <c r="Q674" s="40" t="s">
        <v>452</v>
      </c>
      <c r="R674" s="23"/>
      <c r="S674" s="95"/>
      <c r="T674" s="23"/>
      <c r="U674" s="95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ht="15.75" customHeight="1">
      <c r="A675" s="24"/>
      <c r="B675" s="34">
        <v>68.0</v>
      </c>
      <c r="C675" s="298">
        <v>46192.0</v>
      </c>
      <c r="D675" s="143"/>
      <c r="E675" s="143"/>
      <c r="F675" s="143"/>
      <c r="G675" s="143"/>
      <c r="H675" s="36" t="s">
        <v>1236</v>
      </c>
      <c r="I675" s="36" t="s">
        <v>1237</v>
      </c>
      <c r="J675" s="36" t="s">
        <v>599</v>
      </c>
      <c r="K675" s="36" t="s">
        <v>1238</v>
      </c>
      <c r="L675" s="56" t="s">
        <v>49</v>
      </c>
      <c r="M675" s="143"/>
      <c r="N675" s="143"/>
      <c r="O675" s="91">
        <v>297.0</v>
      </c>
      <c r="P675" s="40" t="s">
        <v>518</v>
      </c>
      <c r="Q675" s="40" t="s">
        <v>452</v>
      </c>
      <c r="R675" s="23"/>
      <c r="S675" s="95"/>
      <c r="T675" s="23"/>
      <c r="U675" s="95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ht="15.75" customHeight="1">
      <c r="A676" s="24"/>
      <c r="B676" s="34">
        <v>69.0</v>
      </c>
      <c r="C676" s="298">
        <v>46192.0</v>
      </c>
      <c r="D676" s="143"/>
      <c r="E676" s="143"/>
      <c r="F676" s="143"/>
      <c r="G676" s="143"/>
      <c r="H676" s="36" t="s">
        <v>1239</v>
      </c>
      <c r="I676" s="36" t="s">
        <v>1240</v>
      </c>
      <c r="J676" s="36" t="s">
        <v>243</v>
      </c>
      <c r="K676" s="36" t="s">
        <v>1241</v>
      </c>
      <c r="L676" s="56" t="s">
        <v>49</v>
      </c>
      <c r="M676" s="143"/>
      <c r="N676" s="143"/>
      <c r="O676" s="91">
        <v>394.0</v>
      </c>
      <c r="P676" s="40" t="s">
        <v>518</v>
      </c>
      <c r="Q676" s="40" t="s">
        <v>452</v>
      </c>
      <c r="R676" s="23"/>
      <c r="S676" s="95"/>
      <c r="T676" s="23"/>
      <c r="U676" s="95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ht="15.75" customHeight="1">
      <c r="A677" s="24"/>
      <c r="B677" s="34">
        <v>70.0</v>
      </c>
      <c r="C677" s="300">
        <v>46193.0</v>
      </c>
      <c r="D677" s="143"/>
      <c r="E677" s="143"/>
      <c r="F677" s="143"/>
      <c r="G677" s="143"/>
      <c r="H677" s="36" t="s">
        <v>1242</v>
      </c>
      <c r="I677" s="36" t="s">
        <v>1243</v>
      </c>
      <c r="J677" s="36" t="s">
        <v>1244</v>
      </c>
      <c r="K677" s="36" t="s">
        <v>1238</v>
      </c>
      <c r="L677" s="56" t="s">
        <v>49</v>
      </c>
      <c r="M677" s="143"/>
      <c r="N677" s="143"/>
      <c r="O677" s="91">
        <v>97.0</v>
      </c>
      <c r="P677" s="40" t="s">
        <v>518</v>
      </c>
      <c r="Q677" s="40" t="s">
        <v>586</v>
      </c>
      <c r="R677" s="23"/>
      <c r="S677" s="95"/>
      <c r="T677" s="23"/>
      <c r="U677" s="95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ht="15.75" customHeight="1">
      <c r="A678" s="24"/>
      <c r="B678" s="34">
        <v>71.0</v>
      </c>
      <c r="C678" s="300">
        <v>46193.0</v>
      </c>
      <c r="D678" s="143"/>
      <c r="E678" s="143"/>
      <c r="F678" s="143"/>
      <c r="G678" s="143"/>
      <c r="H678" s="36" t="s">
        <v>1038</v>
      </c>
      <c r="I678" s="36" t="s">
        <v>892</v>
      </c>
      <c r="J678" s="36" t="s">
        <v>1199</v>
      </c>
      <c r="K678" s="36"/>
      <c r="L678" s="56" t="s">
        <v>49</v>
      </c>
      <c r="M678" s="143"/>
      <c r="N678" s="143"/>
      <c r="O678" s="91">
        <v>297.0</v>
      </c>
      <c r="P678" s="40" t="s">
        <v>1159</v>
      </c>
      <c r="Q678" s="40" t="s">
        <v>631</v>
      </c>
      <c r="R678" s="23"/>
      <c r="S678" s="95"/>
      <c r="T678" s="23"/>
      <c r="U678" s="95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ht="15.75" customHeight="1">
      <c r="A679" s="24"/>
      <c r="B679" s="34">
        <v>72.0</v>
      </c>
      <c r="C679" s="300">
        <v>46193.0</v>
      </c>
      <c r="D679" s="143"/>
      <c r="E679" s="143"/>
      <c r="F679" s="143"/>
      <c r="G679" s="143"/>
      <c r="H679" s="36" t="s">
        <v>1245</v>
      </c>
      <c r="I679" s="36" t="s">
        <v>1246</v>
      </c>
      <c r="J679" s="36" t="s">
        <v>1199</v>
      </c>
      <c r="K679" s="36"/>
      <c r="L679" s="56" t="s">
        <v>49</v>
      </c>
      <c r="M679" s="143"/>
      <c r="N679" s="143"/>
      <c r="O679" s="91">
        <v>297.0</v>
      </c>
      <c r="P679" s="40" t="s">
        <v>1159</v>
      </c>
      <c r="Q679" s="40" t="s">
        <v>452</v>
      </c>
      <c r="R679" s="23"/>
      <c r="S679" s="95"/>
      <c r="T679" s="23"/>
      <c r="U679" s="95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ht="15.75" customHeight="1">
      <c r="A680" s="24"/>
      <c r="B680" s="34">
        <v>73.0</v>
      </c>
      <c r="C680" s="300">
        <v>46193.0</v>
      </c>
      <c r="D680" s="143"/>
      <c r="E680" s="143"/>
      <c r="F680" s="143"/>
      <c r="G680" s="143"/>
      <c r="H680" s="36" t="s">
        <v>1247</v>
      </c>
      <c r="I680" s="36" t="s">
        <v>629</v>
      </c>
      <c r="J680" s="36" t="s">
        <v>1248</v>
      </c>
      <c r="K680" s="36" t="s">
        <v>884</v>
      </c>
      <c r="L680" s="56" t="s">
        <v>84</v>
      </c>
      <c r="M680" s="143"/>
      <c r="N680" s="143"/>
      <c r="O680" s="91">
        <v>7.0</v>
      </c>
      <c r="P680" s="40" t="s">
        <v>462</v>
      </c>
      <c r="Q680" s="40" t="s">
        <v>452</v>
      </c>
      <c r="R680" s="23"/>
      <c r="S680" s="95"/>
      <c r="T680" s="23"/>
      <c r="U680" s="95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ht="15.75" customHeight="1">
      <c r="A681" s="24"/>
      <c r="B681" s="34">
        <v>74.0</v>
      </c>
      <c r="C681" s="273">
        <v>46195.0</v>
      </c>
      <c r="D681" s="36">
        <v>3.0</v>
      </c>
      <c r="E681" s="36" t="s">
        <v>67</v>
      </c>
      <c r="F681" s="143"/>
      <c r="G681" s="36">
        <v>4.6357607E7</v>
      </c>
      <c r="H681" s="36" t="s">
        <v>1249</v>
      </c>
      <c r="I681" s="36" t="s">
        <v>1249</v>
      </c>
      <c r="J681" s="36" t="s">
        <v>1250</v>
      </c>
      <c r="K681" s="36" t="s">
        <v>1251</v>
      </c>
      <c r="L681" s="56" t="s">
        <v>49</v>
      </c>
      <c r="M681" s="143"/>
      <c r="N681" s="143"/>
      <c r="O681" s="91">
        <v>97.0</v>
      </c>
      <c r="P681" s="40" t="s">
        <v>1159</v>
      </c>
      <c r="Q681" s="40" t="s">
        <v>452</v>
      </c>
      <c r="R681" s="23"/>
      <c r="S681" s="195">
        <v>97.0</v>
      </c>
      <c r="T681" s="23"/>
      <c r="U681" s="195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ht="15.75" customHeight="1">
      <c r="A682" s="24"/>
      <c r="B682" s="34">
        <v>75.0</v>
      </c>
      <c r="C682" s="273">
        <v>46195.0</v>
      </c>
      <c r="D682" s="143"/>
      <c r="E682" s="143"/>
      <c r="F682" s="143"/>
      <c r="G682" s="143"/>
      <c r="H682" s="36" t="s">
        <v>1218</v>
      </c>
      <c r="I682" s="36" t="s">
        <v>1219</v>
      </c>
      <c r="J682" s="36" t="s">
        <v>1199</v>
      </c>
      <c r="K682" s="36" t="s">
        <v>1252</v>
      </c>
      <c r="L682" s="56" t="s">
        <v>49</v>
      </c>
      <c r="M682" s="143"/>
      <c r="N682" s="143"/>
      <c r="O682" s="91">
        <v>297.0</v>
      </c>
      <c r="P682" s="40" t="s">
        <v>1159</v>
      </c>
      <c r="Q682" s="40" t="s">
        <v>452</v>
      </c>
      <c r="R682" s="23"/>
      <c r="S682" s="95"/>
      <c r="T682" s="23"/>
      <c r="U682" s="95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ht="15.75" customHeight="1">
      <c r="A683" s="24"/>
      <c r="B683" s="34">
        <v>76.0</v>
      </c>
      <c r="C683" s="273">
        <v>46195.0</v>
      </c>
      <c r="D683" s="143"/>
      <c r="E683" s="143"/>
      <c r="F683" s="143"/>
      <c r="G683" s="143"/>
      <c r="H683" s="36" t="s">
        <v>1253</v>
      </c>
      <c r="I683" s="36" t="s">
        <v>629</v>
      </c>
      <c r="J683" s="36" t="s">
        <v>1254</v>
      </c>
      <c r="K683" s="36" t="s">
        <v>884</v>
      </c>
      <c r="L683" s="56" t="s">
        <v>84</v>
      </c>
      <c r="M683" s="143"/>
      <c r="N683" s="143"/>
      <c r="O683" s="91">
        <v>40.0</v>
      </c>
      <c r="P683" s="40" t="s">
        <v>462</v>
      </c>
      <c r="Q683" s="40" t="s">
        <v>452</v>
      </c>
      <c r="R683" s="23"/>
      <c r="S683" s="95"/>
      <c r="T683" s="23"/>
      <c r="U683" s="95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ht="15.75" customHeight="1">
      <c r="A684" s="24"/>
      <c r="B684" s="34">
        <v>77.0</v>
      </c>
      <c r="C684" s="229">
        <v>46196.0</v>
      </c>
      <c r="D684" s="143"/>
      <c r="E684" s="143"/>
      <c r="F684" s="143"/>
      <c r="G684" s="143"/>
      <c r="H684" s="36" t="s">
        <v>1255</v>
      </c>
      <c r="I684" s="36" t="s">
        <v>1255</v>
      </c>
      <c r="J684" s="36" t="s">
        <v>1256</v>
      </c>
      <c r="K684" s="36" t="s">
        <v>1191</v>
      </c>
      <c r="L684" s="56" t="s">
        <v>49</v>
      </c>
      <c r="M684" s="143"/>
      <c r="N684" s="143"/>
      <c r="O684" s="91">
        <v>97.0</v>
      </c>
      <c r="P684" s="40" t="s">
        <v>1159</v>
      </c>
      <c r="Q684" s="40" t="s">
        <v>253</v>
      </c>
      <c r="R684" s="23"/>
      <c r="S684" s="95"/>
      <c r="T684" s="23"/>
      <c r="U684" s="95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ht="15.75" customHeight="1">
      <c r="A685" s="24"/>
      <c r="B685" s="34">
        <v>78.0</v>
      </c>
      <c r="C685" s="229">
        <v>46196.0</v>
      </c>
      <c r="D685" s="143"/>
      <c r="E685" s="143"/>
      <c r="F685" s="143"/>
      <c r="G685" s="143"/>
      <c r="H685" s="36" t="s">
        <v>1209</v>
      </c>
      <c r="I685" s="36" t="s">
        <v>1209</v>
      </c>
      <c r="J685" s="36" t="s">
        <v>283</v>
      </c>
      <c r="K685" s="36" t="s">
        <v>1191</v>
      </c>
      <c r="L685" s="56" t="s">
        <v>49</v>
      </c>
      <c r="M685" s="143"/>
      <c r="N685" s="143"/>
      <c r="O685" s="91">
        <v>264.0</v>
      </c>
      <c r="P685" s="40" t="s">
        <v>1159</v>
      </c>
      <c r="Q685" s="40" t="s">
        <v>573</v>
      </c>
      <c r="R685" s="23"/>
      <c r="S685" s="95"/>
      <c r="T685" s="23"/>
      <c r="U685" s="95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ht="15.75" customHeight="1">
      <c r="A686" s="24"/>
      <c r="B686" s="34">
        <v>79.0</v>
      </c>
      <c r="C686" s="229">
        <v>46196.0</v>
      </c>
      <c r="D686" s="36">
        <v>3.0</v>
      </c>
      <c r="E686" s="36" t="s">
        <v>67</v>
      </c>
      <c r="F686" s="36">
        <v>86.0</v>
      </c>
      <c r="G686" s="36">
        <v>4.270445E7</v>
      </c>
      <c r="H686" s="36" t="s">
        <v>1257</v>
      </c>
      <c r="I686" s="36" t="s">
        <v>1258</v>
      </c>
      <c r="J686" s="36" t="s">
        <v>1259</v>
      </c>
      <c r="K686" s="36" t="s">
        <v>506</v>
      </c>
      <c r="L686" s="56" t="s">
        <v>49</v>
      </c>
      <c r="M686" s="143"/>
      <c r="N686" s="143"/>
      <c r="O686" s="91">
        <v>394.0</v>
      </c>
      <c r="P686" s="40" t="s">
        <v>1159</v>
      </c>
      <c r="Q686" s="40" t="s">
        <v>452</v>
      </c>
      <c r="R686" s="23"/>
      <c r="S686" s="195">
        <v>394.0</v>
      </c>
      <c r="T686" s="23"/>
      <c r="U686" s="195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ht="15.75" customHeight="1">
      <c r="A687" s="24"/>
      <c r="B687" s="34">
        <v>80.0</v>
      </c>
      <c r="C687" s="276">
        <v>46197.0</v>
      </c>
      <c r="D687" s="143"/>
      <c r="E687" s="143"/>
      <c r="F687" s="143"/>
      <c r="G687" s="143"/>
      <c r="H687" s="36" t="s">
        <v>1225</v>
      </c>
      <c r="I687" s="36" t="s">
        <v>1260</v>
      </c>
      <c r="J687" s="36" t="s">
        <v>1199</v>
      </c>
      <c r="K687" s="36" t="s">
        <v>506</v>
      </c>
      <c r="L687" s="56" t="s">
        <v>49</v>
      </c>
      <c r="M687" s="143"/>
      <c r="N687" s="143"/>
      <c r="O687" s="91">
        <v>297.0</v>
      </c>
      <c r="P687" s="40" t="s">
        <v>1159</v>
      </c>
      <c r="Q687" s="40" t="s">
        <v>1261</v>
      </c>
      <c r="R687" s="23"/>
      <c r="S687" s="95"/>
      <c r="T687" s="23"/>
      <c r="U687" s="95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ht="15.75" customHeight="1">
      <c r="A688" s="24"/>
      <c r="B688" s="34">
        <v>81.0</v>
      </c>
      <c r="C688" s="301">
        <v>46198.0</v>
      </c>
      <c r="D688" s="143"/>
      <c r="E688" s="143"/>
      <c r="F688" s="143"/>
      <c r="G688" s="143"/>
      <c r="H688" s="36" t="s">
        <v>1262</v>
      </c>
      <c r="I688" s="36" t="s">
        <v>1263</v>
      </c>
      <c r="J688" s="36" t="s">
        <v>1199</v>
      </c>
      <c r="K688" s="36" t="s">
        <v>506</v>
      </c>
      <c r="L688" s="56" t="s">
        <v>49</v>
      </c>
      <c r="M688" s="143"/>
      <c r="N688" s="143"/>
      <c r="O688" s="91">
        <v>297.0</v>
      </c>
      <c r="P688" s="40" t="s">
        <v>1159</v>
      </c>
      <c r="Q688" s="40" t="s">
        <v>452</v>
      </c>
      <c r="R688" s="23"/>
      <c r="S688" s="95"/>
      <c r="T688" s="23"/>
      <c r="U688" s="95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ht="15.75" customHeight="1">
      <c r="A689" s="24"/>
      <c r="B689" s="34">
        <v>82.0</v>
      </c>
      <c r="C689" s="301">
        <v>46198.0</v>
      </c>
      <c r="D689" s="143"/>
      <c r="E689" s="143"/>
      <c r="F689" s="143"/>
      <c r="G689" s="143"/>
      <c r="H689" s="36" t="s">
        <v>370</v>
      </c>
      <c r="I689" s="36" t="s">
        <v>724</v>
      </c>
      <c r="J689" s="36" t="s">
        <v>1199</v>
      </c>
      <c r="K689" s="36" t="s">
        <v>1202</v>
      </c>
      <c r="L689" s="56" t="s">
        <v>49</v>
      </c>
      <c r="M689" s="143"/>
      <c r="N689" s="143"/>
      <c r="O689" s="91">
        <v>297.0</v>
      </c>
      <c r="P689" s="40" t="s">
        <v>1159</v>
      </c>
      <c r="Q689" s="40" t="s">
        <v>452</v>
      </c>
      <c r="R689" s="23"/>
      <c r="S689" s="95"/>
      <c r="T689" s="23"/>
      <c r="U689" s="95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ht="15.75" customHeight="1">
      <c r="A690" s="24"/>
      <c r="B690" s="34">
        <v>83.0</v>
      </c>
      <c r="C690" s="301">
        <v>46198.0</v>
      </c>
      <c r="D690" s="36">
        <v>3.0</v>
      </c>
      <c r="E690" s="36" t="s">
        <v>67</v>
      </c>
      <c r="F690" s="36">
        <v>84.0</v>
      </c>
      <c r="G690" s="36">
        <v>164754.0</v>
      </c>
      <c r="H690" s="36" t="s">
        <v>1264</v>
      </c>
      <c r="I690" s="36" t="s">
        <v>1265</v>
      </c>
      <c r="J690" s="36" t="s">
        <v>1266</v>
      </c>
      <c r="K690" s="36" t="s">
        <v>1267</v>
      </c>
      <c r="L690" s="56" t="s">
        <v>49</v>
      </c>
      <c r="M690" s="143"/>
      <c r="N690" s="143"/>
      <c r="O690" s="91">
        <v>358.0</v>
      </c>
      <c r="P690" s="40" t="s">
        <v>518</v>
      </c>
      <c r="Q690" s="40" t="s">
        <v>573</v>
      </c>
      <c r="R690" s="23"/>
      <c r="S690" s="195">
        <v>358.0</v>
      </c>
      <c r="T690" s="23"/>
      <c r="U690" s="195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ht="15.75" customHeight="1">
      <c r="A691" s="24"/>
      <c r="B691" s="34">
        <v>84.0</v>
      </c>
      <c r="C691" s="301">
        <v>46198.0</v>
      </c>
      <c r="D691" s="36">
        <v>3.0</v>
      </c>
      <c r="E691" s="36" t="s">
        <v>67</v>
      </c>
      <c r="F691" s="36">
        <v>85.0</v>
      </c>
      <c r="G691" s="36">
        <v>164754.0</v>
      </c>
      <c r="H691" s="36" t="s">
        <v>1264</v>
      </c>
      <c r="I691" s="36" t="s">
        <v>1268</v>
      </c>
      <c r="J691" s="36" t="s">
        <v>1269</v>
      </c>
      <c r="K691" s="36" t="s">
        <v>1184</v>
      </c>
      <c r="L691" s="56" t="s">
        <v>49</v>
      </c>
      <c r="M691" s="143"/>
      <c r="N691" s="143"/>
      <c r="O691" s="91">
        <v>328.0</v>
      </c>
      <c r="P691" s="40" t="s">
        <v>518</v>
      </c>
      <c r="Q691" s="40" t="s">
        <v>573</v>
      </c>
      <c r="R691" s="23"/>
      <c r="S691" s="195">
        <v>328.0</v>
      </c>
      <c r="T691" s="23"/>
      <c r="U691" s="195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ht="15.75" customHeight="1">
      <c r="A692" s="24"/>
      <c r="B692" s="34">
        <v>85.0</v>
      </c>
      <c r="C692" s="301">
        <v>46198.0</v>
      </c>
      <c r="D692" s="143"/>
      <c r="E692" s="143"/>
      <c r="F692" s="143"/>
      <c r="G692" s="143"/>
      <c r="H692" s="36" t="s">
        <v>1270</v>
      </c>
      <c r="I692" s="36" t="s">
        <v>1271</v>
      </c>
      <c r="J692" s="36" t="s">
        <v>1272</v>
      </c>
      <c r="K692" s="36" t="s">
        <v>1198</v>
      </c>
      <c r="L692" s="56" t="s">
        <v>49</v>
      </c>
      <c r="M692" s="143"/>
      <c r="N692" s="143"/>
      <c r="O692" s="91">
        <v>30.0</v>
      </c>
      <c r="P692" s="40" t="s">
        <v>518</v>
      </c>
      <c r="Q692" s="40" t="s">
        <v>586</v>
      </c>
      <c r="R692" s="23"/>
      <c r="S692" s="95"/>
      <c r="T692" s="23"/>
      <c r="U692" s="95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ht="15.75" customHeight="1">
      <c r="A693" s="24"/>
      <c r="B693" s="34">
        <v>86.0</v>
      </c>
      <c r="C693" s="301">
        <v>46198.0</v>
      </c>
      <c r="D693" s="143"/>
      <c r="E693" s="143"/>
      <c r="F693" s="143"/>
      <c r="G693" s="143"/>
      <c r="H693" s="36" t="s">
        <v>1273</v>
      </c>
      <c r="I693" s="36" t="s">
        <v>629</v>
      </c>
      <c r="J693" s="36" t="s">
        <v>1274</v>
      </c>
      <c r="K693" s="36"/>
      <c r="L693" s="56" t="s">
        <v>84</v>
      </c>
      <c r="M693" s="143"/>
      <c r="N693" s="143"/>
      <c r="O693" s="91">
        <v>4.0</v>
      </c>
      <c r="P693" s="40" t="s">
        <v>462</v>
      </c>
      <c r="Q693" s="40" t="s">
        <v>631</v>
      </c>
      <c r="R693" s="23"/>
      <c r="S693" s="95"/>
      <c r="T693" s="23"/>
      <c r="U693" s="95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ht="15.75" customHeight="1">
      <c r="A694" s="24"/>
      <c r="B694" s="34">
        <v>87.0</v>
      </c>
      <c r="C694" s="301">
        <v>46198.0</v>
      </c>
      <c r="D694" s="143"/>
      <c r="E694" s="143"/>
      <c r="F694" s="143"/>
      <c r="G694" s="143"/>
      <c r="H694" s="36" t="s">
        <v>1275</v>
      </c>
      <c r="I694" s="36" t="s">
        <v>1276</v>
      </c>
      <c r="J694" s="36" t="s">
        <v>1277</v>
      </c>
      <c r="K694" s="36" t="s">
        <v>506</v>
      </c>
      <c r="L694" s="56" t="s">
        <v>49</v>
      </c>
      <c r="M694" s="143"/>
      <c r="N694" s="143"/>
      <c r="O694" s="91">
        <v>30.0</v>
      </c>
      <c r="P694" s="40" t="s">
        <v>1159</v>
      </c>
      <c r="Q694" s="40" t="s">
        <v>253</v>
      </c>
      <c r="R694" s="23"/>
      <c r="S694" s="95"/>
      <c r="T694" s="23"/>
      <c r="U694" s="95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ht="15.75" customHeight="1">
      <c r="A695" s="24"/>
      <c r="B695" s="34">
        <v>88.0</v>
      </c>
      <c r="C695" s="301">
        <v>46198.0</v>
      </c>
      <c r="D695" s="143"/>
      <c r="E695" s="143"/>
      <c r="F695" s="143"/>
      <c r="G695" s="143"/>
      <c r="H695" s="36" t="s">
        <v>1278</v>
      </c>
      <c r="I695" s="36" t="s">
        <v>1279</v>
      </c>
      <c r="J695" s="36" t="s">
        <v>1280</v>
      </c>
      <c r="K695" s="36" t="s">
        <v>1198</v>
      </c>
      <c r="L695" s="56" t="s">
        <v>49</v>
      </c>
      <c r="M695" s="143"/>
      <c r="N695" s="143"/>
      <c r="O695" s="91">
        <v>30.0</v>
      </c>
      <c r="P695" s="40" t="s">
        <v>1159</v>
      </c>
      <c r="Q695" s="40" t="s">
        <v>253</v>
      </c>
      <c r="R695" s="23"/>
      <c r="S695" s="95"/>
      <c r="T695" s="23"/>
      <c r="U695" s="95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ht="15.75" customHeight="1">
      <c r="A696" s="24"/>
      <c r="B696" s="34">
        <v>89.0</v>
      </c>
      <c r="C696" s="301">
        <v>46198.0</v>
      </c>
      <c r="D696" s="143"/>
      <c r="E696" s="143"/>
      <c r="F696" s="143"/>
      <c r="G696" s="143"/>
      <c r="H696" s="36" t="s">
        <v>674</v>
      </c>
      <c r="I696" s="36" t="s">
        <v>675</v>
      </c>
      <c r="J696" s="36" t="s">
        <v>1281</v>
      </c>
      <c r="K696" s="36" t="s">
        <v>506</v>
      </c>
      <c r="L696" s="56" t="s">
        <v>49</v>
      </c>
      <c r="M696" s="143"/>
      <c r="N696" s="143"/>
      <c r="O696" s="91">
        <v>32.0</v>
      </c>
      <c r="P696" s="40" t="s">
        <v>518</v>
      </c>
      <c r="Q696" s="40" t="s">
        <v>586</v>
      </c>
      <c r="R696" s="23"/>
      <c r="S696" s="95"/>
      <c r="T696" s="23"/>
      <c r="U696" s="95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ht="15.75" customHeight="1">
      <c r="A697" s="24"/>
      <c r="B697" s="34">
        <v>90.0</v>
      </c>
      <c r="C697" s="280">
        <v>46199.0</v>
      </c>
      <c r="D697" s="143"/>
      <c r="E697" s="143"/>
      <c r="F697" s="143"/>
      <c r="G697" s="143"/>
      <c r="H697" s="36" t="s">
        <v>1282</v>
      </c>
      <c r="I697" s="36" t="s">
        <v>647</v>
      </c>
      <c r="J697" s="36" t="s">
        <v>1199</v>
      </c>
      <c r="K697" s="36" t="s">
        <v>1184</v>
      </c>
      <c r="L697" s="56" t="s">
        <v>49</v>
      </c>
      <c r="M697" s="143"/>
      <c r="N697" s="143"/>
      <c r="O697" s="91">
        <v>297.0</v>
      </c>
      <c r="P697" s="40" t="s">
        <v>1159</v>
      </c>
      <c r="Q697" s="40" t="s">
        <v>452</v>
      </c>
      <c r="R697" s="23"/>
      <c r="S697" s="95"/>
      <c r="T697" s="23"/>
      <c r="U697" s="195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ht="15.75" customHeight="1">
      <c r="A698" s="24"/>
      <c r="B698" s="34">
        <v>91.0</v>
      </c>
      <c r="C698" s="280">
        <v>46199.0</v>
      </c>
      <c r="D698" s="143"/>
      <c r="E698" s="143"/>
      <c r="F698" s="143"/>
      <c r="G698" s="143"/>
      <c r="H698" s="36" t="s">
        <v>858</v>
      </c>
      <c r="I698" s="36" t="s">
        <v>1283</v>
      </c>
      <c r="J698" s="36" t="s">
        <v>1199</v>
      </c>
      <c r="K698" s="36"/>
      <c r="L698" s="56" t="s">
        <v>49</v>
      </c>
      <c r="M698" s="143"/>
      <c r="N698" s="143"/>
      <c r="O698" s="91">
        <v>300.0</v>
      </c>
      <c r="P698" s="40" t="s">
        <v>1159</v>
      </c>
      <c r="Q698" s="40" t="s">
        <v>452</v>
      </c>
      <c r="R698" s="23"/>
      <c r="S698" s="95"/>
      <c r="T698" s="23"/>
      <c r="U698" s="95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ht="15.75" customHeight="1">
      <c r="A699" s="24"/>
      <c r="B699" s="34">
        <v>92.0</v>
      </c>
      <c r="C699" s="302">
        <v>46200.0</v>
      </c>
      <c r="D699" s="143"/>
      <c r="E699" s="143"/>
      <c r="F699" s="143"/>
      <c r="G699" s="143"/>
      <c r="H699" s="36" t="s">
        <v>858</v>
      </c>
      <c r="I699" s="36" t="s">
        <v>1284</v>
      </c>
      <c r="J699" s="36" t="s">
        <v>1199</v>
      </c>
      <c r="K699" s="36"/>
      <c r="L699" s="56" t="s">
        <v>49</v>
      </c>
      <c r="M699" s="143"/>
      <c r="N699" s="143"/>
      <c r="O699" s="91">
        <v>222.0</v>
      </c>
      <c r="P699" s="40" t="s">
        <v>1159</v>
      </c>
      <c r="Q699" s="40" t="s">
        <v>452</v>
      </c>
      <c r="R699" s="23"/>
      <c r="S699" s="95"/>
      <c r="T699" s="23"/>
      <c r="U699" s="195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ht="15.75" customHeight="1">
      <c r="A700" s="24"/>
      <c r="B700" s="34">
        <v>93.0</v>
      </c>
      <c r="C700" s="223">
        <v>46203.0</v>
      </c>
      <c r="D700" s="143"/>
      <c r="E700" s="143"/>
      <c r="F700" s="143"/>
      <c r="G700" s="143"/>
      <c r="H700" s="36" t="s">
        <v>1285</v>
      </c>
      <c r="I700" s="36" t="s">
        <v>1286</v>
      </c>
      <c r="J700" s="36" t="s">
        <v>1199</v>
      </c>
      <c r="K700" s="36" t="s">
        <v>1267</v>
      </c>
      <c r="L700" s="56" t="s">
        <v>49</v>
      </c>
      <c r="M700" s="143"/>
      <c r="N700" s="143"/>
      <c r="O700" s="91">
        <v>252.0</v>
      </c>
      <c r="P700" s="40" t="s">
        <v>1159</v>
      </c>
      <c r="Q700" s="40" t="s">
        <v>452</v>
      </c>
      <c r="R700" s="23"/>
      <c r="S700" s="95"/>
      <c r="T700" s="23"/>
      <c r="U700" s="95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ht="15.75" customHeight="1">
      <c r="A701" s="24"/>
      <c r="B701" s="34">
        <v>94.0</v>
      </c>
      <c r="C701" s="223">
        <v>46203.0</v>
      </c>
      <c r="D701" s="143"/>
      <c r="E701" s="143"/>
      <c r="F701" s="143"/>
      <c r="G701" s="143"/>
      <c r="H701" s="36" t="s">
        <v>1048</v>
      </c>
      <c r="I701" s="36" t="s">
        <v>1287</v>
      </c>
      <c r="J701" s="36" t="s">
        <v>1199</v>
      </c>
      <c r="K701" s="36" t="s">
        <v>1198</v>
      </c>
      <c r="L701" s="56" t="s">
        <v>49</v>
      </c>
      <c r="M701" s="143"/>
      <c r="N701" s="143"/>
      <c r="O701" s="91">
        <v>297.0</v>
      </c>
      <c r="P701" s="40" t="s">
        <v>1159</v>
      </c>
      <c r="Q701" s="40" t="s">
        <v>452</v>
      </c>
      <c r="R701" s="23"/>
      <c r="S701" s="95"/>
      <c r="T701" s="23"/>
      <c r="U701" s="9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ht="15.75" customHeight="1">
      <c r="A702" s="24"/>
      <c r="B702" s="34">
        <v>95.0</v>
      </c>
      <c r="C702" s="223">
        <v>46203.0</v>
      </c>
      <c r="D702" s="143"/>
      <c r="E702" s="143"/>
      <c r="F702" s="143"/>
      <c r="G702" s="36">
        <v>4.079226E7</v>
      </c>
      <c r="H702" s="36" t="s">
        <v>1288</v>
      </c>
      <c r="I702" s="36" t="s">
        <v>1288</v>
      </c>
      <c r="J702" s="36" t="s">
        <v>1289</v>
      </c>
      <c r="K702" s="36" t="s">
        <v>1202</v>
      </c>
      <c r="L702" s="56" t="s">
        <v>49</v>
      </c>
      <c r="M702" s="143"/>
      <c r="N702" s="143"/>
      <c r="O702" s="91">
        <v>97.0</v>
      </c>
      <c r="P702" s="40" t="s">
        <v>1159</v>
      </c>
      <c r="Q702" s="40" t="s">
        <v>586</v>
      </c>
      <c r="R702" s="23"/>
      <c r="S702" s="95"/>
      <c r="T702" s="23"/>
      <c r="U702" s="9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ht="15.75" customHeight="1">
      <c r="A703" s="24"/>
      <c r="B703" s="34">
        <v>96.0</v>
      </c>
      <c r="C703" s="223">
        <v>46203.0</v>
      </c>
      <c r="D703" s="143"/>
      <c r="E703" s="143"/>
      <c r="F703" s="143"/>
      <c r="G703" s="143"/>
      <c r="H703" s="36" t="s">
        <v>1290</v>
      </c>
      <c r="I703" s="36" t="s">
        <v>1291</v>
      </c>
      <c r="J703" s="36" t="s">
        <v>1199</v>
      </c>
      <c r="K703" s="36" t="s">
        <v>506</v>
      </c>
      <c r="L703" s="56" t="s">
        <v>49</v>
      </c>
      <c r="M703" s="143"/>
      <c r="N703" s="143"/>
      <c r="O703" s="91">
        <v>40.0</v>
      </c>
      <c r="P703" s="40" t="s">
        <v>1159</v>
      </c>
      <c r="Q703" s="40" t="s">
        <v>452</v>
      </c>
      <c r="R703" s="23"/>
      <c r="S703" s="95"/>
      <c r="T703" s="23"/>
      <c r="U703" s="9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ht="15.75" customHeight="1">
      <c r="A704" s="24"/>
      <c r="B704" s="34">
        <v>97.0</v>
      </c>
      <c r="C704" s="223">
        <v>46203.0</v>
      </c>
      <c r="D704" s="143"/>
      <c r="E704" s="143"/>
      <c r="F704" s="143"/>
      <c r="G704" s="143"/>
      <c r="H704" s="36" t="s">
        <v>1290</v>
      </c>
      <c r="I704" s="36" t="s">
        <v>1291</v>
      </c>
      <c r="J704" s="36" t="s">
        <v>1199</v>
      </c>
      <c r="K704" s="36" t="s">
        <v>506</v>
      </c>
      <c r="L704" s="56" t="s">
        <v>49</v>
      </c>
      <c r="M704" s="143"/>
      <c r="N704" s="143"/>
      <c r="O704" s="91">
        <v>297.0</v>
      </c>
      <c r="P704" s="40" t="s">
        <v>1159</v>
      </c>
      <c r="Q704" s="40" t="s">
        <v>452</v>
      </c>
      <c r="R704" s="23"/>
      <c r="S704" s="95"/>
      <c r="T704" s="23"/>
      <c r="U704" s="95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ht="15.75" customHeight="1">
      <c r="A705" s="24"/>
      <c r="B705" s="34">
        <v>98.0</v>
      </c>
      <c r="C705" s="223">
        <v>46203.0</v>
      </c>
      <c r="D705" s="143"/>
      <c r="E705" s="143"/>
      <c r="F705" s="143"/>
      <c r="G705" s="143"/>
      <c r="H705" s="36" t="s">
        <v>1292</v>
      </c>
      <c r="I705" s="36" t="s">
        <v>1293</v>
      </c>
      <c r="J705" s="36" t="s">
        <v>1294</v>
      </c>
      <c r="K705" s="36"/>
      <c r="L705" s="56" t="s">
        <v>84</v>
      </c>
      <c r="M705" s="143"/>
      <c r="N705" s="143"/>
      <c r="O705" s="91">
        <v>30.0</v>
      </c>
      <c r="P705" s="40" t="s">
        <v>462</v>
      </c>
      <c r="Q705" s="40" t="s">
        <v>452</v>
      </c>
      <c r="R705" s="23"/>
      <c r="S705" s="95"/>
      <c r="T705" s="23"/>
      <c r="U705" s="95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ht="15.75" customHeight="1">
      <c r="A706" s="24"/>
      <c r="B706" s="34">
        <v>99.0</v>
      </c>
      <c r="C706" s="223">
        <v>46203.0</v>
      </c>
      <c r="D706" s="143"/>
      <c r="E706" s="143"/>
      <c r="F706" s="143"/>
      <c r="G706" s="143"/>
      <c r="H706" s="36" t="s">
        <v>1086</v>
      </c>
      <c r="I706" s="36" t="s">
        <v>1295</v>
      </c>
      <c r="J706" s="36" t="s">
        <v>1199</v>
      </c>
      <c r="K706" s="36" t="s">
        <v>997</v>
      </c>
      <c r="L706" s="56" t="s">
        <v>49</v>
      </c>
      <c r="M706" s="143"/>
      <c r="N706" s="143"/>
      <c r="O706" s="91">
        <v>297.0</v>
      </c>
      <c r="P706" s="40" t="s">
        <v>1159</v>
      </c>
      <c r="Q706" s="40" t="s">
        <v>452</v>
      </c>
      <c r="R706" s="23"/>
      <c r="S706" s="95"/>
      <c r="T706" s="23"/>
      <c r="U706" s="95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ht="15.75" customHeight="1">
      <c r="A707" s="24"/>
      <c r="B707" s="34"/>
      <c r="C707" s="184"/>
      <c r="D707" s="143"/>
      <c r="E707" s="143"/>
      <c r="F707" s="143"/>
      <c r="G707" s="143"/>
      <c r="H707" s="36"/>
      <c r="I707" s="36"/>
      <c r="J707" s="36"/>
      <c r="K707" s="36"/>
      <c r="L707" s="56"/>
      <c r="M707" s="143"/>
      <c r="N707" s="143"/>
      <c r="O707" s="189"/>
      <c r="P707" s="40"/>
      <c r="Q707" s="40"/>
      <c r="R707" s="23"/>
      <c r="S707" s="95"/>
      <c r="T707" s="23"/>
      <c r="U707" s="95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ht="15.75" customHeight="1">
      <c r="A708" s="24"/>
      <c r="B708" s="34"/>
      <c r="C708" s="184"/>
      <c r="D708" s="143"/>
      <c r="E708" s="143"/>
      <c r="F708" s="143"/>
      <c r="G708" s="143"/>
      <c r="H708" s="36"/>
      <c r="I708" s="36"/>
      <c r="J708" s="36"/>
      <c r="K708" s="36"/>
      <c r="L708" s="56"/>
      <c r="M708" s="143"/>
      <c r="N708" s="143"/>
      <c r="O708" s="189"/>
      <c r="P708" s="40"/>
      <c r="Q708" s="40"/>
      <c r="R708" s="23"/>
      <c r="S708" s="95"/>
      <c r="T708" s="23"/>
      <c r="U708" s="95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ht="15.75" customHeight="1">
      <c r="A709" s="24"/>
      <c r="B709" s="34"/>
      <c r="C709" s="184"/>
      <c r="D709" s="143"/>
      <c r="E709" s="143"/>
      <c r="F709" s="143"/>
      <c r="G709" s="143"/>
      <c r="H709" s="36"/>
      <c r="I709" s="36"/>
      <c r="J709" s="36"/>
      <c r="K709" s="36"/>
      <c r="L709" s="143"/>
      <c r="M709" s="143"/>
      <c r="N709" s="143"/>
      <c r="O709" s="189">
        <f>SUM(O608:O708)</f>
        <v>18003.5</v>
      </c>
      <c r="P709" s="143"/>
      <c r="Q709" s="143"/>
      <c r="R709" s="23"/>
      <c r="S709" s="189">
        <f>SUM(S608:S708)</f>
        <v>3792</v>
      </c>
      <c r="T709" s="23"/>
      <c r="U709" s="189">
        <f>SUM(U608:U708)</f>
        <v>0</v>
      </c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ht="15.75" customHeight="1">
      <c r="A710" s="84"/>
      <c r="B710" s="84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ht="15.75" customHeight="1">
      <c r="A711" s="256"/>
      <c r="B711" s="257" t="s">
        <v>1296</v>
      </c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9"/>
      <c r="P711" s="5"/>
      <c r="Q711" s="5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ht="15.75" customHeight="1">
      <c r="A712" s="84"/>
      <c r="B712" s="84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ht="15.75" customHeight="1">
      <c r="A713" s="85"/>
      <c r="B713" s="32" t="s">
        <v>1</v>
      </c>
      <c r="C713" s="32" t="s">
        <v>3</v>
      </c>
      <c r="D713" s="35" t="s">
        <v>4</v>
      </c>
      <c r="E713" s="7"/>
      <c r="F713" s="8"/>
      <c r="G713" s="39" t="s">
        <v>28</v>
      </c>
      <c r="H713" s="39" t="s">
        <v>29</v>
      </c>
      <c r="I713" s="32" t="s">
        <v>30</v>
      </c>
      <c r="J713" s="32" t="s">
        <v>7</v>
      </c>
      <c r="K713" s="39" t="s">
        <v>33</v>
      </c>
      <c r="L713" s="30" t="s">
        <v>34</v>
      </c>
      <c r="M713" s="32" t="s">
        <v>37</v>
      </c>
      <c r="N713" s="32" t="s">
        <v>10</v>
      </c>
      <c r="O713" s="32" t="s">
        <v>38</v>
      </c>
      <c r="P713" s="43" t="s">
        <v>39</v>
      </c>
      <c r="Q713" s="43" t="s">
        <v>40</v>
      </c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ht="15.75" customHeight="1">
      <c r="A714" s="85"/>
      <c r="B714" s="11"/>
      <c r="C714" s="11"/>
      <c r="D714" s="48" t="s">
        <v>12</v>
      </c>
      <c r="E714" s="48" t="s">
        <v>13</v>
      </c>
      <c r="F714" s="48" t="s">
        <v>14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ht="15.75" customHeight="1">
      <c r="A715" s="24"/>
      <c r="B715" s="34">
        <v>1.0</v>
      </c>
      <c r="C715" s="283">
        <v>46204.0</v>
      </c>
      <c r="D715" s="143"/>
      <c r="E715" s="143"/>
      <c r="F715" s="143"/>
      <c r="G715" s="143"/>
      <c r="H715" s="36" t="s">
        <v>1297</v>
      </c>
      <c r="I715" s="36" t="s">
        <v>1298</v>
      </c>
      <c r="J715" s="36" t="s">
        <v>48</v>
      </c>
      <c r="K715" s="36" t="s">
        <v>1184</v>
      </c>
      <c r="L715" s="56" t="s">
        <v>49</v>
      </c>
      <c r="M715" s="143"/>
      <c r="N715" s="143"/>
      <c r="O715" s="91">
        <v>297.0</v>
      </c>
      <c r="P715" s="40" t="s">
        <v>1159</v>
      </c>
      <c r="Q715" s="40" t="s">
        <v>452</v>
      </c>
      <c r="R715" s="23"/>
      <c r="S715" s="95"/>
      <c r="T715" s="23"/>
      <c r="U715" s="95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ht="15.75" customHeight="1">
      <c r="A716" s="24"/>
      <c r="B716" s="34">
        <v>2.0</v>
      </c>
      <c r="C716" s="283">
        <v>46204.0</v>
      </c>
      <c r="D716" s="143"/>
      <c r="E716" s="143"/>
      <c r="F716" s="143"/>
      <c r="G716" s="143"/>
      <c r="H716" s="36" t="s">
        <v>1071</v>
      </c>
      <c r="I716" s="36" t="s">
        <v>1299</v>
      </c>
      <c r="J716" s="36" t="s">
        <v>1300</v>
      </c>
      <c r="K716" s="36" t="s">
        <v>1301</v>
      </c>
      <c r="L716" s="56" t="s">
        <v>49</v>
      </c>
      <c r="M716" s="143"/>
      <c r="N716" s="143"/>
      <c r="O716" s="91">
        <v>297.0</v>
      </c>
      <c r="P716" s="40" t="s">
        <v>1159</v>
      </c>
      <c r="Q716" s="40" t="s">
        <v>452</v>
      </c>
      <c r="R716" s="23"/>
      <c r="S716" s="95"/>
      <c r="T716" s="23"/>
      <c r="U716" s="95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ht="15.75" customHeight="1">
      <c r="A717" s="24"/>
      <c r="B717" s="34">
        <v>3.0</v>
      </c>
      <c r="C717" s="283">
        <v>46204.0</v>
      </c>
      <c r="D717" s="143"/>
      <c r="E717" s="143"/>
      <c r="F717" s="143"/>
      <c r="G717" s="143"/>
      <c r="H717" s="36" t="s">
        <v>1071</v>
      </c>
      <c r="I717" s="36" t="s">
        <v>1299</v>
      </c>
      <c r="J717" s="36" t="s">
        <v>1302</v>
      </c>
      <c r="K717" s="36" t="s">
        <v>629</v>
      </c>
      <c r="L717" s="56" t="s">
        <v>84</v>
      </c>
      <c r="M717" s="143"/>
      <c r="N717" s="143"/>
      <c r="O717" s="91">
        <v>40.0</v>
      </c>
      <c r="P717" s="40" t="s">
        <v>1159</v>
      </c>
      <c r="Q717" s="40" t="s">
        <v>452</v>
      </c>
      <c r="R717" s="23"/>
      <c r="S717" s="95"/>
      <c r="T717" s="23"/>
      <c r="U717" s="95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ht="15.75" customHeight="1">
      <c r="A718" s="24"/>
      <c r="B718" s="34">
        <v>4.0</v>
      </c>
      <c r="C718" s="283">
        <v>46204.0</v>
      </c>
      <c r="D718" s="143"/>
      <c r="E718" s="143"/>
      <c r="F718" s="143"/>
      <c r="G718" s="143"/>
      <c r="H718" s="36" t="s">
        <v>1303</v>
      </c>
      <c r="I718" s="36" t="s">
        <v>1293</v>
      </c>
      <c r="J718" s="36" t="s">
        <v>1304</v>
      </c>
      <c r="K718" s="36" t="s">
        <v>629</v>
      </c>
      <c r="L718" s="56" t="s">
        <v>84</v>
      </c>
      <c r="M718" s="143"/>
      <c r="N718" s="143"/>
      <c r="O718" s="91">
        <v>30.0</v>
      </c>
      <c r="P718" s="40" t="s">
        <v>462</v>
      </c>
      <c r="Q718" s="40" t="s">
        <v>452</v>
      </c>
      <c r="R718" s="23"/>
      <c r="S718" s="95"/>
      <c r="T718" s="23"/>
      <c r="U718" s="95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ht="15.75" customHeight="1">
      <c r="A719" s="24"/>
      <c r="B719" s="34">
        <v>5.0</v>
      </c>
      <c r="C719" s="300">
        <v>46206.0</v>
      </c>
      <c r="D719" s="143"/>
      <c r="E719" s="143"/>
      <c r="F719" s="143"/>
      <c r="G719" s="143"/>
      <c r="H719" s="36" t="s">
        <v>1305</v>
      </c>
      <c r="I719" s="36" t="s">
        <v>1306</v>
      </c>
      <c r="J719" s="36" t="s">
        <v>1199</v>
      </c>
      <c r="K719" s="36" t="s">
        <v>506</v>
      </c>
      <c r="L719" s="56" t="s">
        <v>49</v>
      </c>
      <c r="M719" s="143"/>
      <c r="N719" s="143"/>
      <c r="O719" s="91">
        <v>522.0</v>
      </c>
      <c r="P719" s="40" t="s">
        <v>1159</v>
      </c>
      <c r="Q719" s="40" t="s">
        <v>452</v>
      </c>
      <c r="R719" s="23"/>
      <c r="S719" s="95"/>
      <c r="T719" s="23"/>
      <c r="U719" s="95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ht="15.75" customHeight="1">
      <c r="A720" s="24"/>
      <c r="B720" s="34">
        <v>6.0</v>
      </c>
      <c r="C720" s="300">
        <v>46206.0</v>
      </c>
      <c r="D720" s="143"/>
      <c r="E720" s="143"/>
      <c r="F720" s="143"/>
      <c r="G720" s="143"/>
      <c r="H720" s="36" t="s">
        <v>1275</v>
      </c>
      <c r="I720" s="36" t="s">
        <v>1307</v>
      </c>
      <c r="J720" s="36" t="s">
        <v>1308</v>
      </c>
      <c r="K720" s="36" t="s">
        <v>1309</v>
      </c>
      <c r="L720" s="56" t="s">
        <v>49</v>
      </c>
      <c r="M720" s="143"/>
      <c r="N720" s="143"/>
      <c r="O720" s="91">
        <v>364.0</v>
      </c>
      <c r="P720" s="40" t="s">
        <v>1159</v>
      </c>
      <c r="Q720" s="40" t="s">
        <v>452</v>
      </c>
      <c r="R720" s="23"/>
      <c r="S720" s="95"/>
      <c r="T720" s="23"/>
      <c r="U720" s="95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ht="15.75" customHeight="1">
      <c r="A721" s="24"/>
      <c r="B721" s="34">
        <v>7.0</v>
      </c>
      <c r="C721" s="300">
        <v>46206.0</v>
      </c>
      <c r="D721" s="143"/>
      <c r="E721" s="143"/>
      <c r="F721" s="143"/>
      <c r="G721" s="143"/>
      <c r="H721" s="36" t="s">
        <v>1310</v>
      </c>
      <c r="I721" s="36" t="s">
        <v>1271</v>
      </c>
      <c r="J721" s="36" t="s">
        <v>1308</v>
      </c>
      <c r="K721" s="36" t="s">
        <v>1198</v>
      </c>
      <c r="L721" s="56" t="s">
        <v>49</v>
      </c>
      <c r="M721" s="143"/>
      <c r="N721" s="143"/>
      <c r="O721" s="91">
        <v>364.0</v>
      </c>
      <c r="P721" s="40" t="s">
        <v>1159</v>
      </c>
      <c r="Q721" s="40" t="s">
        <v>586</v>
      </c>
      <c r="R721" s="23"/>
      <c r="S721" s="95"/>
      <c r="T721" s="23"/>
      <c r="U721" s="95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ht="15.75" customHeight="1">
      <c r="A722" s="24"/>
      <c r="B722" s="34">
        <v>8.0</v>
      </c>
      <c r="C722" s="300">
        <v>46206.0</v>
      </c>
      <c r="D722" s="36">
        <v>3.0</v>
      </c>
      <c r="E722" s="36" t="s">
        <v>67</v>
      </c>
      <c r="F722" s="36">
        <v>98.0</v>
      </c>
      <c r="G722" s="36">
        <v>9433116.0</v>
      </c>
      <c r="H722" s="36" t="s">
        <v>1311</v>
      </c>
      <c r="I722" s="36" t="s">
        <v>1312</v>
      </c>
      <c r="J722" s="36" t="s">
        <v>1313</v>
      </c>
      <c r="K722" s="36" t="s">
        <v>1198</v>
      </c>
      <c r="L722" s="56" t="s">
        <v>49</v>
      </c>
      <c r="M722" s="143"/>
      <c r="N722" s="143"/>
      <c r="O722" s="91">
        <v>50.0</v>
      </c>
      <c r="P722" s="40" t="s">
        <v>518</v>
      </c>
      <c r="Q722" s="40" t="s">
        <v>586</v>
      </c>
      <c r="R722" s="23"/>
      <c r="S722" s="195">
        <v>50.0</v>
      </c>
      <c r="T722" s="23"/>
      <c r="U722" s="195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ht="15.75" customHeight="1">
      <c r="A723" s="24"/>
      <c r="B723" s="34">
        <v>9.0</v>
      </c>
      <c r="C723" s="300">
        <v>46206.0</v>
      </c>
      <c r="D723" s="143"/>
      <c r="E723" s="143"/>
      <c r="F723" s="143"/>
      <c r="G723" s="143"/>
      <c r="H723" s="36" t="s">
        <v>1314</v>
      </c>
      <c r="I723" s="36" t="s">
        <v>1314</v>
      </c>
      <c r="J723" s="36" t="s">
        <v>48</v>
      </c>
      <c r="K723" s="36" t="s">
        <v>1202</v>
      </c>
      <c r="L723" s="56" t="s">
        <v>49</v>
      </c>
      <c r="M723" s="143"/>
      <c r="N723" s="143"/>
      <c r="O723" s="91">
        <v>197.0</v>
      </c>
      <c r="P723" s="40" t="s">
        <v>1159</v>
      </c>
      <c r="Q723" s="40" t="s">
        <v>253</v>
      </c>
      <c r="R723" s="23"/>
      <c r="S723" s="95"/>
      <c r="T723" s="23"/>
      <c r="U723" s="95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ht="15.75" customHeight="1">
      <c r="A724" s="24"/>
      <c r="B724" s="34">
        <v>10.0</v>
      </c>
      <c r="C724" s="300">
        <v>46206.0</v>
      </c>
      <c r="D724" s="143"/>
      <c r="E724" s="143"/>
      <c r="F724" s="143"/>
      <c r="G724" s="143"/>
      <c r="H724" s="36" t="s">
        <v>1315</v>
      </c>
      <c r="I724" s="36" t="s">
        <v>1315</v>
      </c>
      <c r="J724" s="36" t="s">
        <v>1199</v>
      </c>
      <c r="K724" s="36" t="s">
        <v>1316</v>
      </c>
      <c r="L724" s="56" t="s">
        <v>49</v>
      </c>
      <c r="M724" s="143"/>
      <c r="N724" s="143"/>
      <c r="O724" s="91">
        <v>200.0</v>
      </c>
      <c r="P724" s="40" t="s">
        <v>1159</v>
      </c>
      <c r="Q724" s="40" t="s">
        <v>586</v>
      </c>
      <c r="R724" s="23"/>
      <c r="S724" s="95"/>
      <c r="T724" s="23"/>
      <c r="U724" s="95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ht="15.75" customHeight="1">
      <c r="A725" s="24"/>
      <c r="B725" s="34">
        <v>11.0</v>
      </c>
      <c r="C725" s="300">
        <v>46206.0</v>
      </c>
      <c r="D725" s="143"/>
      <c r="E725" s="143"/>
      <c r="F725" s="143"/>
      <c r="G725" s="143"/>
      <c r="H725" s="36" t="s">
        <v>1315</v>
      </c>
      <c r="I725" s="36" t="s">
        <v>1315</v>
      </c>
      <c r="J725" s="36" t="s">
        <v>1199</v>
      </c>
      <c r="K725" s="36" t="s">
        <v>1316</v>
      </c>
      <c r="L725" s="56" t="s">
        <v>49</v>
      </c>
      <c r="M725" s="143"/>
      <c r="N725" s="143"/>
      <c r="O725" s="91">
        <v>194.0</v>
      </c>
      <c r="P725" s="40" t="s">
        <v>1159</v>
      </c>
      <c r="Q725" s="40" t="s">
        <v>452</v>
      </c>
      <c r="R725" s="23"/>
      <c r="S725" s="95"/>
      <c r="T725" s="23"/>
      <c r="U725" s="95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ht="15.75" customHeight="1">
      <c r="A726" s="24"/>
      <c r="B726" s="34">
        <v>12.0</v>
      </c>
      <c r="C726" s="300">
        <v>46206.0</v>
      </c>
      <c r="D726" s="143"/>
      <c r="E726" s="143"/>
      <c r="F726" s="143"/>
      <c r="G726" s="36"/>
      <c r="H726" s="36" t="s">
        <v>1317</v>
      </c>
      <c r="I726" s="36" t="s">
        <v>1318</v>
      </c>
      <c r="J726" s="36" t="s">
        <v>1319</v>
      </c>
      <c r="K726" s="36" t="s">
        <v>1320</v>
      </c>
      <c r="L726" s="56" t="s">
        <v>49</v>
      </c>
      <c r="M726" s="143"/>
      <c r="N726" s="143"/>
      <c r="O726" s="91">
        <v>30.0</v>
      </c>
      <c r="P726" s="40" t="s">
        <v>1159</v>
      </c>
      <c r="Q726" s="40" t="s">
        <v>452</v>
      </c>
      <c r="R726" s="23"/>
      <c r="S726" s="95"/>
      <c r="T726" s="23"/>
      <c r="U726" s="95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ht="15.75" customHeight="1">
      <c r="A727" s="24"/>
      <c r="B727" s="34">
        <v>13.0</v>
      </c>
      <c r="C727" s="303">
        <v>46207.0</v>
      </c>
      <c r="D727" s="143"/>
      <c r="E727" s="143"/>
      <c r="F727" s="143"/>
      <c r="G727" s="143"/>
      <c r="H727" s="36" t="s">
        <v>1321</v>
      </c>
      <c r="I727" s="36" t="s">
        <v>1322</v>
      </c>
      <c r="J727" s="36" t="s">
        <v>1199</v>
      </c>
      <c r="K727" s="36" t="s">
        <v>506</v>
      </c>
      <c r="L727" s="56" t="s">
        <v>49</v>
      </c>
      <c r="M727" s="143"/>
      <c r="N727" s="143"/>
      <c r="O727" s="91">
        <v>297.0</v>
      </c>
      <c r="P727" s="40" t="s">
        <v>1159</v>
      </c>
      <c r="Q727" s="40" t="s">
        <v>253</v>
      </c>
      <c r="R727" s="23"/>
      <c r="S727" s="95"/>
      <c r="T727" s="23"/>
      <c r="U727" s="95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ht="15.75" customHeight="1">
      <c r="A728" s="24"/>
      <c r="B728" s="34">
        <v>14.0</v>
      </c>
      <c r="C728" s="303">
        <v>46207.0</v>
      </c>
      <c r="D728" s="143"/>
      <c r="E728" s="143"/>
      <c r="F728" s="143"/>
      <c r="G728" s="143"/>
      <c r="H728" s="36" t="s">
        <v>1242</v>
      </c>
      <c r="I728" s="36" t="s">
        <v>1243</v>
      </c>
      <c r="J728" s="36" t="s">
        <v>1199</v>
      </c>
      <c r="K728" s="36" t="s">
        <v>1184</v>
      </c>
      <c r="L728" s="56" t="s">
        <v>49</v>
      </c>
      <c r="M728" s="143"/>
      <c r="N728" s="143"/>
      <c r="O728" s="91">
        <v>297.0</v>
      </c>
      <c r="P728" s="40" t="s">
        <v>1159</v>
      </c>
      <c r="Q728" s="40" t="s">
        <v>586</v>
      </c>
      <c r="R728" s="23"/>
      <c r="S728" s="95"/>
      <c r="T728" s="23"/>
      <c r="U728" s="95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ht="15.75" customHeight="1">
      <c r="A729" s="24"/>
      <c r="B729" s="34">
        <v>15.0</v>
      </c>
      <c r="C729" s="303">
        <v>46207.0</v>
      </c>
      <c r="D729" s="143"/>
      <c r="E729" s="143"/>
      <c r="F729" s="143"/>
      <c r="G729" s="143"/>
      <c r="H729" s="36" t="s">
        <v>1323</v>
      </c>
      <c r="I729" s="36" t="s">
        <v>1324</v>
      </c>
      <c r="J729" s="36" t="s">
        <v>1325</v>
      </c>
      <c r="K729" s="36" t="s">
        <v>1326</v>
      </c>
      <c r="L729" s="56" t="s">
        <v>49</v>
      </c>
      <c r="M729" s="143"/>
      <c r="N729" s="143"/>
      <c r="O729" s="91">
        <v>394.0</v>
      </c>
      <c r="P729" s="40" t="s">
        <v>1159</v>
      </c>
      <c r="Q729" s="40" t="s">
        <v>452</v>
      </c>
      <c r="R729" s="23"/>
      <c r="S729" s="95"/>
      <c r="T729" s="23"/>
      <c r="U729" s="95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ht="15.75" customHeight="1">
      <c r="A730" s="24"/>
      <c r="B730" s="34">
        <v>16.0</v>
      </c>
      <c r="C730" s="303">
        <v>46207.0</v>
      </c>
      <c r="D730" s="143"/>
      <c r="E730" s="143"/>
      <c r="F730" s="143"/>
      <c r="G730" s="143"/>
      <c r="H730" s="36" t="s">
        <v>1327</v>
      </c>
      <c r="I730" s="36" t="s">
        <v>1328</v>
      </c>
      <c r="J730" s="36" t="s">
        <v>1329</v>
      </c>
      <c r="K730" s="36" t="s">
        <v>1326</v>
      </c>
      <c r="L730" s="56" t="s">
        <v>49</v>
      </c>
      <c r="M730" s="143"/>
      <c r="N730" s="143"/>
      <c r="O730" s="91">
        <v>97.0</v>
      </c>
      <c r="P730" s="40" t="s">
        <v>518</v>
      </c>
      <c r="Q730" s="40" t="s">
        <v>452</v>
      </c>
      <c r="R730" s="23"/>
      <c r="S730" s="95"/>
      <c r="T730" s="23"/>
      <c r="U730" s="95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ht="15.75" customHeight="1">
      <c r="A731" s="24"/>
      <c r="B731" s="34">
        <v>17.0</v>
      </c>
      <c r="C731" s="220">
        <v>46209.0</v>
      </c>
      <c r="D731" s="143"/>
      <c r="E731" s="143"/>
      <c r="F731" s="143"/>
      <c r="G731" s="143"/>
      <c r="H731" s="36" t="s">
        <v>1317</v>
      </c>
      <c r="I731" s="36" t="s">
        <v>1318</v>
      </c>
      <c r="J731" s="36" t="s">
        <v>1308</v>
      </c>
      <c r="K731" s="36" t="s">
        <v>1320</v>
      </c>
      <c r="L731" s="56" t="s">
        <v>49</v>
      </c>
      <c r="M731" s="143"/>
      <c r="N731" s="143"/>
      <c r="O731" s="91">
        <v>364.0</v>
      </c>
      <c r="P731" s="40" t="s">
        <v>1159</v>
      </c>
      <c r="Q731" s="40" t="s">
        <v>452</v>
      </c>
      <c r="R731" s="23"/>
      <c r="S731" s="95"/>
      <c r="T731" s="23"/>
      <c r="U731" s="95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ht="15.75" customHeight="1">
      <c r="A732" s="24"/>
      <c r="B732" s="34">
        <v>18.0</v>
      </c>
      <c r="C732" s="220">
        <v>46209.0</v>
      </c>
      <c r="D732" s="143"/>
      <c r="E732" s="143"/>
      <c r="F732" s="143"/>
      <c r="G732" s="143"/>
      <c r="H732" s="36" t="s">
        <v>1330</v>
      </c>
      <c r="I732" s="36" t="s">
        <v>1331</v>
      </c>
      <c r="J732" s="36" t="s">
        <v>1199</v>
      </c>
      <c r="K732" s="36" t="s">
        <v>1332</v>
      </c>
      <c r="L732" s="56" t="s">
        <v>49</v>
      </c>
      <c r="M732" s="143"/>
      <c r="N732" s="143"/>
      <c r="O732" s="91">
        <v>297.0</v>
      </c>
      <c r="P732" s="40" t="s">
        <v>1159</v>
      </c>
      <c r="Q732" s="40" t="s">
        <v>452</v>
      </c>
      <c r="R732" s="23"/>
      <c r="S732" s="95"/>
      <c r="T732" s="23"/>
      <c r="U732" s="95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ht="15.75" customHeight="1">
      <c r="A733" s="24"/>
      <c r="B733" s="34">
        <v>19.0</v>
      </c>
      <c r="C733" s="220">
        <v>46209.0</v>
      </c>
      <c r="D733" s="36">
        <v>3.0</v>
      </c>
      <c r="E733" s="36" t="s">
        <v>67</v>
      </c>
      <c r="F733" s="36">
        <v>99.0</v>
      </c>
      <c r="G733" s="36">
        <v>4.1752304E7</v>
      </c>
      <c r="H733" s="36" t="s">
        <v>1333</v>
      </c>
      <c r="I733" s="36" t="s">
        <v>1334</v>
      </c>
      <c r="J733" s="36" t="s">
        <v>1335</v>
      </c>
      <c r="K733" s="36" t="s">
        <v>1336</v>
      </c>
      <c r="L733" s="56" t="s">
        <v>49</v>
      </c>
      <c r="M733" s="143"/>
      <c r="N733" s="143"/>
      <c r="O733" s="91">
        <v>97.0</v>
      </c>
      <c r="P733" s="40" t="s">
        <v>1159</v>
      </c>
      <c r="Q733" s="40" t="s">
        <v>452</v>
      </c>
      <c r="R733" s="23"/>
      <c r="S733" s="195">
        <v>97.0</v>
      </c>
      <c r="T733" s="23"/>
      <c r="U733" s="195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ht="15.75" customHeight="1">
      <c r="A734" s="24"/>
      <c r="B734" s="34">
        <v>20.0</v>
      </c>
      <c r="C734" s="220">
        <v>46209.0</v>
      </c>
      <c r="D734" s="143"/>
      <c r="E734" s="143"/>
      <c r="F734" s="143"/>
      <c r="G734" s="143"/>
      <c r="H734" s="36" t="s">
        <v>1337</v>
      </c>
      <c r="I734" s="36" t="s">
        <v>1337</v>
      </c>
      <c r="J734" s="36" t="s">
        <v>1338</v>
      </c>
      <c r="K734" s="36" t="s">
        <v>1198</v>
      </c>
      <c r="L734" s="56" t="s">
        <v>49</v>
      </c>
      <c r="M734" s="143"/>
      <c r="N734" s="143"/>
      <c r="O734" s="91">
        <v>200.0</v>
      </c>
      <c r="P734" s="40" t="s">
        <v>1159</v>
      </c>
      <c r="Q734" s="40" t="s">
        <v>631</v>
      </c>
      <c r="R734" s="23"/>
      <c r="S734" s="95"/>
      <c r="T734" s="23"/>
      <c r="U734" s="95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ht="15.75" customHeight="1">
      <c r="A735" s="24"/>
      <c r="B735" s="34">
        <v>21.0</v>
      </c>
      <c r="C735" s="220">
        <v>46209.0</v>
      </c>
      <c r="D735" s="36">
        <v>3.0</v>
      </c>
      <c r="E735" s="36" t="s">
        <v>67</v>
      </c>
      <c r="F735" s="36">
        <v>100.0</v>
      </c>
      <c r="G735" s="304">
        <v>7.0655207E7</v>
      </c>
      <c r="H735" s="36" t="s">
        <v>1253</v>
      </c>
      <c r="I735" s="36" t="s">
        <v>1293</v>
      </c>
      <c r="J735" s="36" t="s">
        <v>1339</v>
      </c>
      <c r="K735" s="36"/>
      <c r="L735" s="56" t="s">
        <v>84</v>
      </c>
      <c r="M735" s="143"/>
      <c r="N735" s="143"/>
      <c r="O735" s="91">
        <v>135.0</v>
      </c>
      <c r="P735" s="40" t="s">
        <v>462</v>
      </c>
      <c r="Q735" s="40" t="s">
        <v>452</v>
      </c>
      <c r="R735" s="23"/>
      <c r="S735" s="195">
        <v>135.0</v>
      </c>
      <c r="T735" s="23"/>
      <c r="U735" s="195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ht="15.75" customHeight="1">
      <c r="A736" s="24"/>
      <c r="B736" s="34">
        <v>22.0</v>
      </c>
      <c r="C736" s="220">
        <v>46209.0</v>
      </c>
      <c r="D736" s="143"/>
      <c r="E736" s="143"/>
      <c r="F736" s="143"/>
      <c r="G736" s="143"/>
      <c r="H736" s="36" t="s">
        <v>1340</v>
      </c>
      <c r="I736" s="36" t="s">
        <v>1293</v>
      </c>
      <c r="J736" s="36" t="s">
        <v>1341</v>
      </c>
      <c r="K736" s="36"/>
      <c r="L736" s="56" t="s">
        <v>84</v>
      </c>
      <c r="M736" s="143"/>
      <c r="N736" s="143"/>
      <c r="O736" s="91">
        <v>30.0</v>
      </c>
      <c r="P736" s="40" t="s">
        <v>462</v>
      </c>
      <c r="Q736" s="40" t="s">
        <v>631</v>
      </c>
      <c r="R736" s="23"/>
      <c r="S736" s="95"/>
      <c r="T736" s="23"/>
      <c r="U736" s="95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ht="15.75" customHeight="1">
      <c r="A737" s="24"/>
      <c r="B737" s="34">
        <v>23.0</v>
      </c>
      <c r="C737" s="229">
        <v>46210.0</v>
      </c>
      <c r="D737" s="143"/>
      <c r="E737" s="143"/>
      <c r="F737" s="143"/>
      <c r="G737" s="143"/>
      <c r="H737" s="36" t="s">
        <v>1342</v>
      </c>
      <c r="I737" s="36" t="s">
        <v>1343</v>
      </c>
      <c r="J737" s="36" t="s">
        <v>1344</v>
      </c>
      <c r="K737" s="36" t="s">
        <v>1345</v>
      </c>
      <c r="L737" s="56" t="s">
        <v>49</v>
      </c>
      <c r="M737" s="143"/>
      <c r="N737" s="143"/>
      <c r="O737" s="91">
        <v>30.0</v>
      </c>
      <c r="P737" s="40" t="s">
        <v>1159</v>
      </c>
      <c r="Q737" s="40" t="s">
        <v>452</v>
      </c>
      <c r="R737" s="23"/>
      <c r="S737" s="95"/>
      <c r="T737" s="23"/>
      <c r="U737" s="95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ht="15.75" customHeight="1">
      <c r="A738" s="24"/>
      <c r="B738" s="34">
        <v>24.0</v>
      </c>
      <c r="C738" s="229">
        <v>46210.0</v>
      </c>
      <c r="D738" s="143"/>
      <c r="E738" s="143"/>
      <c r="F738" s="143"/>
      <c r="G738" s="143"/>
      <c r="H738" s="91" t="s">
        <v>1327</v>
      </c>
      <c r="I738" s="36" t="s">
        <v>1328</v>
      </c>
      <c r="J738" s="36" t="s">
        <v>1199</v>
      </c>
      <c r="K738" s="36" t="s">
        <v>1346</v>
      </c>
      <c r="L738" s="56" t="s">
        <v>49</v>
      </c>
      <c r="M738" s="143"/>
      <c r="N738" s="143"/>
      <c r="O738" s="91">
        <v>297.0</v>
      </c>
      <c r="P738" s="40" t="s">
        <v>1159</v>
      </c>
      <c r="Q738" s="40" t="s">
        <v>452</v>
      </c>
      <c r="R738" s="23"/>
      <c r="S738" s="95"/>
      <c r="T738" s="23"/>
      <c r="U738" s="95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ht="15.75" customHeight="1">
      <c r="A739" s="24"/>
      <c r="B739" s="34">
        <v>25.0</v>
      </c>
      <c r="C739" s="229">
        <v>46210.0</v>
      </c>
      <c r="D739" s="143"/>
      <c r="E739" s="143"/>
      <c r="F739" s="143"/>
      <c r="G739" s="143"/>
      <c r="H739" s="36" t="s">
        <v>1311</v>
      </c>
      <c r="I739" s="36" t="s">
        <v>1312</v>
      </c>
      <c r="J739" s="36" t="s">
        <v>1168</v>
      </c>
      <c r="K739" s="36" t="s">
        <v>1198</v>
      </c>
      <c r="L739" s="56" t="s">
        <v>49</v>
      </c>
      <c r="M739" s="143"/>
      <c r="N739" s="143"/>
      <c r="O739" s="91">
        <v>50.0</v>
      </c>
      <c r="P739" s="40" t="s">
        <v>1159</v>
      </c>
      <c r="Q739" s="40" t="s">
        <v>586</v>
      </c>
      <c r="R739" s="23"/>
      <c r="S739" s="95"/>
      <c r="T739" s="23"/>
      <c r="U739" s="95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ht="15.75" customHeight="1">
      <c r="A740" s="24"/>
      <c r="B740" s="34">
        <v>26.0</v>
      </c>
      <c r="C740" s="229">
        <v>46210.0</v>
      </c>
      <c r="D740" s="143"/>
      <c r="E740" s="143"/>
      <c r="F740" s="143"/>
      <c r="G740" s="143"/>
      <c r="H740" s="36" t="s">
        <v>1347</v>
      </c>
      <c r="I740" s="36" t="s">
        <v>1293</v>
      </c>
      <c r="J740" s="36" t="s">
        <v>1348</v>
      </c>
      <c r="K740" s="36"/>
      <c r="L740" s="56" t="s">
        <v>84</v>
      </c>
      <c r="M740" s="143"/>
      <c r="N740" s="143"/>
      <c r="O740" s="91">
        <v>51.0</v>
      </c>
      <c r="P740" s="40" t="s">
        <v>462</v>
      </c>
      <c r="Q740" s="40" t="s">
        <v>452</v>
      </c>
      <c r="R740" s="23"/>
      <c r="S740" s="95"/>
      <c r="T740" s="23"/>
      <c r="U740" s="95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ht="15.75" customHeight="1">
      <c r="A741" s="24"/>
      <c r="B741" s="34">
        <v>27.0</v>
      </c>
      <c r="C741" s="229">
        <v>46210.0</v>
      </c>
      <c r="D741" s="36">
        <v>3.0</v>
      </c>
      <c r="E741" s="36" t="s">
        <v>67</v>
      </c>
      <c r="F741" s="36">
        <v>101.0</v>
      </c>
      <c r="G741" s="36">
        <v>4.4751546E7</v>
      </c>
      <c r="H741" s="36" t="s">
        <v>1349</v>
      </c>
      <c r="I741" s="36" t="s">
        <v>1349</v>
      </c>
      <c r="J741" s="36" t="s">
        <v>1350</v>
      </c>
      <c r="K741" s="36" t="s">
        <v>1351</v>
      </c>
      <c r="L741" s="56" t="s">
        <v>49</v>
      </c>
      <c r="M741" s="143"/>
      <c r="N741" s="143"/>
      <c r="O741" s="91">
        <v>394.0</v>
      </c>
      <c r="P741" s="40" t="s">
        <v>1159</v>
      </c>
      <c r="Q741" s="40" t="s">
        <v>253</v>
      </c>
      <c r="R741" s="23"/>
      <c r="S741" s="195">
        <v>394.0</v>
      </c>
      <c r="T741" s="23"/>
      <c r="U741" s="195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ht="15.75" customHeight="1">
      <c r="A742" s="24"/>
      <c r="B742" s="34">
        <v>28.0</v>
      </c>
      <c r="C742" s="229">
        <v>46210.0</v>
      </c>
      <c r="D742" s="143"/>
      <c r="E742" s="143"/>
      <c r="F742" s="143"/>
      <c r="G742" s="143"/>
      <c r="H742" s="36" t="s">
        <v>1352</v>
      </c>
      <c r="I742" s="36" t="s">
        <v>1353</v>
      </c>
      <c r="J742" s="36" t="s">
        <v>1354</v>
      </c>
      <c r="K742" s="36"/>
      <c r="L742" s="56" t="s">
        <v>49</v>
      </c>
      <c r="M742" s="143"/>
      <c r="N742" s="143"/>
      <c r="O742" s="91">
        <v>30.0</v>
      </c>
      <c r="P742" s="40" t="s">
        <v>1159</v>
      </c>
      <c r="Q742" s="40" t="s">
        <v>586</v>
      </c>
      <c r="R742" s="23"/>
      <c r="S742" s="95"/>
      <c r="T742" s="23"/>
      <c r="U742" s="95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ht="15.75" customHeight="1">
      <c r="A743" s="24"/>
      <c r="B743" s="34">
        <v>29.0</v>
      </c>
      <c r="C743" s="234">
        <v>46212.0</v>
      </c>
      <c r="D743" s="143"/>
      <c r="E743" s="143"/>
      <c r="F743" s="143"/>
      <c r="G743" s="143"/>
      <c r="H743" s="36" t="s">
        <v>1355</v>
      </c>
      <c r="I743" s="36" t="s">
        <v>1356</v>
      </c>
      <c r="J743" s="36" t="s">
        <v>1199</v>
      </c>
      <c r="K743" s="36" t="s">
        <v>506</v>
      </c>
      <c r="L743" s="56" t="s">
        <v>49</v>
      </c>
      <c r="M743" s="143"/>
      <c r="N743" s="143"/>
      <c r="O743" s="91">
        <v>297.0</v>
      </c>
      <c r="P743" s="40" t="s">
        <v>1159</v>
      </c>
      <c r="Q743" s="40" t="s">
        <v>573</v>
      </c>
      <c r="R743" s="23"/>
      <c r="S743" s="95"/>
      <c r="T743" s="23"/>
      <c r="U743" s="95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ht="15.75" customHeight="1">
      <c r="A744" s="24"/>
      <c r="B744" s="34">
        <v>30.0</v>
      </c>
      <c r="C744" s="234">
        <v>46212.0</v>
      </c>
      <c r="D744" s="36">
        <v>3.0</v>
      </c>
      <c r="E744" s="36" t="s">
        <v>67</v>
      </c>
      <c r="F744" s="36">
        <v>92.0</v>
      </c>
      <c r="G744" s="36">
        <v>1.046646E7</v>
      </c>
      <c r="H744" s="36" t="s">
        <v>1357</v>
      </c>
      <c r="I744" s="36" t="s">
        <v>856</v>
      </c>
      <c r="J744" s="36" t="s">
        <v>1358</v>
      </c>
      <c r="K744" s="36" t="s">
        <v>1203</v>
      </c>
      <c r="L744" s="56" t="s">
        <v>49</v>
      </c>
      <c r="M744" s="143"/>
      <c r="N744" s="143"/>
      <c r="O744" s="91">
        <v>400.0</v>
      </c>
      <c r="P744" s="40" t="s">
        <v>1159</v>
      </c>
      <c r="Q744" s="40" t="s">
        <v>586</v>
      </c>
      <c r="R744" s="23"/>
      <c r="S744" s="195">
        <v>400.0</v>
      </c>
      <c r="T744" s="23"/>
      <c r="U744" s="95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ht="15.75" customHeight="1">
      <c r="A745" s="87"/>
      <c r="B745" s="34">
        <v>31.0</v>
      </c>
      <c r="C745" s="234">
        <v>46212.0</v>
      </c>
      <c r="D745" s="143"/>
      <c r="E745" s="143"/>
      <c r="F745" s="143"/>
      <c r="G745" s="143"/>
      <c r="H745" s="36" t="s">
        <v>1359</v>
      </c>
      <c r="I745" s="36" t="s">
        <v>629</v>
      </c>
      <c r="J745" s="36" t="s">
        <v>1360</v>
      </c>
      <c r="K745" s="36"/>
      <c r="L745" s="56" t="s">
        <v>49</v>
      </c>
      <c r="M745" s="143"/>
      <c r="N745" s="143"/>
      <c r="O745" s="91">
        <v>45.0</v>
      </c>
      <c r="P745" s="40" t="s">
        <v>462</v>
      </c>
      <c r="Q745" s="40" t="s">
        <v>452</v>
      </c>
      <c r="R745" s="23"/>
      <c r="S745" s="95"/>
      <c r="T745" s="23"/>
      <c r="U745" s="95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ht="15.75" customHeight="1">
      <c r="A746" s="24"/>
      <c r="B746" s="34">
        <v>32.0</v>
      </c>
      <c r="C746" s="234">
        <v>46212.0</v>
      </c>
      <c r="D746" s="143"/>
      <c r="E746" s="143"/>
      <c r="F746" s="143"/>
      <c r="G746" s="143"/>
      <c r="H746" s="36" t="s">
        <v>1361</v>
      </c>
      <c r="I746" s="36" t="s">
        <v>875</v>
      </c>
      <c r="J746" s="36" t="s">
        <v>1362</v>
      </c>
      <c r="K746" s="36" t="s">
        <v>1089</v>
      </c>
      <c r="L746" s="56" t="s">
        <v>49</v>
      </c>
      <c r="M746" s="143"/>
      <c r="N746" s="143"/>
      <c r="O746" s="91">
        <v>32.0</v>
      </c>
      <c r="P746" s="40" t="s">
        <v>1159</v>
      </c>
      <c r="Q746" s="40" t="s">
        <v>586</v>
      </c>
      <c r="R746" s="23"/>
      <c r="S746" s="95"/>
      <c r="T746" s="23"/>
      <c r="U746" s="95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ht="19.5" customHeight="1">
      <c r="A747" s="24"/>
      <c r="B747" s="34">
        <v>33.0</v>
      </c>
      <c r="C747" s="223">
        <v>46213.0</v>
      </c>
      <c r="D747" s="36">
        <v>1.0</v>
      </c>
      <c r="E747" s="36" t="s">
        <v>43</v>
      </c>
      <c r="F747" s="36">
        <v>6.0</v>
      </c>
      <c r="G747" s="36">
        <v>2.0601058937E10</v>
      </c>
      <c r="H747" s="305" t="s">
        <v>1363</v>
      </c>
      <c r="I747" s="36" t="s">
        <v>1364</v>
      </c>
      <c r="J747" s="36" t="s">
        <v>1325</v>
      </c>
      <c r="K747" s="36" t="s">
        <v>1089</v>
      </c>
      <c r="L747" s="56" t="s">
        <v>49</v>
      </c>
      <c r="M747" s="143"/>
      <c r="N747" s="143"/>
      <c r="O747" s="91">
        <v>394.0</v>
      </c>
      <c r="P747" s="40" t="s">
        <v>1159</v>
      </c>
      <c r="Q747" s="40" t="s">
        <v>253</v>
      </c>
      <c r="R747" s="23"/>
      <c r="S747" s="195">
        <v>394.0</v>
      </c>
      <c r="T747" s="23"/>
      <c r="U747" s="95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ht="15.75" customHeight="1">
      <c r="A748" s="24"/>
      <c r="B748" s="34">
        <v>34.0</v>
      </c>
      <c r="C748" s="223">
        <v>46213.0</v>
      </c>
      <c r="D748" s="36">
        <v>1.0</v>
      </c>
      <c r="E748" s="36" t="s">
        <v>43</v>
      </c>
      <c r="F748" s="36">
        <v>6.0</v>
      </c>
      <c r="G748" s="36">
        <v>2.0601058937E10</v>
      </c>
      <c r="H748" s="305" t="s">
        <v>1363</v>
      </c>
      <c r="I748" s="36" t="s">
        <v>629</v>
      </c>
      <c r="J748" s="36" t="s">
        <v>1365</v>
      </c>
      <c r="K748" s="36"/>
      <c r="L748" s="56" t="s">
        <v>84</v>
      </c>
      <c r="M748" s="143"/>
      <c r="N748" s="143"/>
      <c r="O748" s="91">
        <v>60.0</v>
      </c>
      <c r="P748" s="40" t="s">
        <v>462</v>
      </c>
      <c r="Q748" s="40" t="s">
        <v>452</v>
      </c>
      <c r="R748" s="23"/>
      <c r="S748" s="195">
        <v>60.0</v>
      </c>
      <c r="T748" s="23"/>
      <c r="U748" s="95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ht="15.75" customHeight="1">
      <c r="A749" s="24"/>
      <c r="B749" s="34">
        <v>35.0</v>
      </c>
      <c r="C749" s="225">
        <v>46214.0</v>
      </c>
      <c r="D749" s="143"/>
      <c r="E749" s="143"/>
      <c r="F749" s="143"/>
      <c r="G749" s="36">
        <v>4.1159314E7</v>
      </c>
      <c r="H749" s="36" t="s">
        <v>1366</v>
      </c>
      <c r="I749" s="36" t="s">
        <v>1367</v>
      </c>
      <c r="J749" s="36" t="s">
        <v>1368</v>
      </c>
      <c r="K749" s="36" t="s">
        <v>1369</v>
      </c>
      <c r="L749" s="56" t="s">
        <v>49</v>
      </c>
      <c r="M749" s="143"/>
      <c r="N749" s="143"/>
      <c r="O749" s="91">
        <v>97.0</v>
      </c>
      <c r="P749" s="40" t="s">
        <v>518</v>
      </c>
      <c r="Q749" s="40" t="s">
        <v>586</v>
      </c>
      <c r="R749" s="23"/>
      <c r="S749" s="95"/>
      <c r="T749" s="23"/>
      <c r="U749" s="195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ht="15.75" customHeight="1">
      <c r="A750" s="24"/>
      <c r="B750" s="34">
        <v>36.0</v>
      </c>
      <c r="C750" s="225">
        <v>46214.0</v>
      </c>
      <c r="D750" s="143"/>
      <c r="E750" s="143"/>
      <c r="F750" s="143"/>
      <c r="G750" s="143"/>
      <c r="H750" s="36" t="s">
        <v>1370</v>
      </c>
      <c r="I750" s="36" t="s">
        <v>1371</v>
      </c>
      <c r="J750" s="36" t="s">
        <v>1372</v>
      </c>
      <c r="K750" s="36" t="s">
        <v>965</v>
      </c>
      <c r="L750" s="56" t="s">
        <v>49</v>
      </c>
      <c r="M750" s="143"/>
      <c r="N750" s="143"/>
      <c r="O750" s="91">
        <v>30.0</v>
      </c>
      <c r="P750" s="40" t="s">
        <v>518</v>
      </c>
      <c r="Q750" s="40" t="s">
        <v>452</v>
      </c>
      <c r="R750" s="23"/>
      <c r="S750" s="95"/>
      <c r="T750" s="23"/>
      <c r="U750" s="95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ht="15.75" customHeight="1">
      <c r="A751" s="24"/>
      <c r="B751" s="34">
        <v>37.0</v>
      </c>
      <c r="C751" s="225">
        <v>46214.0</v>
      </c>
      <c r="D751" s="143"/>
      <c r="E751" s="143"/>
      <c r="F751" s="143"/>
      <c r="G751" s="143"/>
      <c r="H751" s="36" t="s">
        <v>1373</v>
      </c>
      <c r="I751" s="36" t="s">
        <v>1091</v>
      </c>
      <c r="J751" s="36" t="s">
        <v>1374</v>
      </c>
      <c r="K751" s="36" t="s">
        <v>960</v>
      </c>
      <c r="L751" s="56" t="s">
        <v>49</v>
      </c>
      <c r="M751" s="143"/>
      <c r="N751" s="143"/>
      <c r="O751" s="91">
        <v>297.0</v>
      </c>
      <c r="P751" s="40" t="s">
        <v>518</v>
      </c>
      <c r="Q751" s="40" t="s">
        <v>452</v>
      </c>
      <c r="R751" s="23"/>
      <c r="S751" s="95"/>
      <c r="T751" s="23"/>
      <c r="U751" s="95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ht="18.75" customHeight="1">
      <c r="A752" s="24"/>
      <c r="B752" s="34">
        <v>38.0</v>
      </c>
      <c r="C752" s="225">
        <v>46214.0</v>
      </c>
      <c r="D752" s="143"/>
      <c r="E752" s="143"/>
      <c r="F752" s="143"/>
      <c r="G752" s="143"/>
      <c r="H752" s="36" t="s">
        <v>1375</v>
      </c>
      <c r="I752" s="36" t="s">
        <v>1376</v>
      </c>
      <c r="J752" s="36" t="s">
        <v>1377</v>
      </c>
      <c r="K752" s="36" t="s">
        <v>1378</v>
      </c>
      <c r="L752" s="56" t="s">
        <v>49</v>
      </c>
      <c r="M752" s="143"/>
      <c r="N752" s="143"/>
      <c r="O752" s="91">
        <v>329.0</v>
      </c>
      <c r="P752" s="40" t="s">
        <v>518</v>
      </c>
      <c r="Q752" s="40" t="s">
        <v>452</v>
      </c>
      <c r="R752" s="23"/>
      <c r="S752" s="95"/>
      <c r="T752" s="23"/>
      <c r="U752" s="95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ht="15.75" customHeight="1">
      <c r="A753" s="24"/>
      <c r="B753" s="34">
        <v>39.0</v>
      </c>
      <c r="C753" s="225">
        <v>46214.0</v>
      </c>
      <c r="D753" s="36">
        <v>3.0</v>
      </c>
      <c r="E753" s="36" t="s">
        <v>67</v>
      </c>
      <c r="F753" s="36">
        <v>102.0</v>
      </c>
      <c r="G753" s="36">
        <v>7.728173E7</v>
      </c>
      <c r="H753" s="253" t="s">
        <v>642</v>
      </c>
      <c r="I753" s="36" t="s">
        <v>930</v>
      </c>
      <c r="J753" s="36" t="s">
        <v>1379</v>
      </c>
      <c r="K753" s="36"/>
      <c r="L753" s="56" t="s">
        <v>49</v>
      </c>
      <c r="M753" s="143"/>
      <c r="N753" s="143"/>
      <c r="O753" s="91">
        <v>783.0</v>
      </c>
      <c r="P753" s="40" t="s">
        <v>518</v>
      </c>
      <c r="Q753" s="40" t="s">
        <v>253</v>
      </c>
      <c r="R753" s="23"/>
      <c r="S753" s="195">
        <v>783.0</v>
      </c>
      <c r="T753" s="23"/>
      <c r="U753" s="195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ht="15.75" customHeight="1">
      <c r="A754" s="24"/>
      <c r="B754" s="34">
        <v>40.0</v>
      </c>
      <c r="C754" s="225">
        <v>46214.0</v>
      </c>
      <c r="D754" s="143"/>
      <c r="E754" s="143"/>
      <c r="F754" s="143"/>
      <c r="G754" s="143"/>
      <c r="H754" s="36" t="s">
        <v>1380</v>
      </c>
      <c r="I754" s="306" t="s">
        <v>1381</v>
      </c>
      <c r="J754" s="36" t="s">
        <v>1382</v>
      </c>
      <c r="K754" s="36" t="s">
        <v>973</v>
      </c>
      <c r="L754" s="56" t="s">
        <v>49</v>
      </c>
      <c r="M754" s="143"/>
      <c r="N754" s="143"/>
      <c r="O754" s="91">
        <v>260.0</v>
      </c>
      <c r="P754" s="40" t="s">
        <v>518</v>
      </c>
      <c r="Q754" s="40" t="s">
        <v>452</v>
      </c>
      <c r="R754" s="23"/>
      <c r="S754" s="95"/>
      <c r="T754" s="23"/>
      <c r="U754" s="95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ht="19.5" customHeight="1">
      <c r="A755" s="24"/>
      <c r="B755" s="34">
        <v>41.0</v>
      </c>
      <c r="C755" s="225">
        <v>46214.0</v>
      </c>
      <c r="D755" s="143"/>
      <c r="E755" s="143"/>
      <c r="F755" s="143"/>
      <c r="G755" s="143"/>
      <c r="H755" s="149" t="s">
        <v>571</v>
      </c>
      <c r="I755" s="149" t="s">
        <v>572</v>
      </c>
      <c r="J755" s="36" t="s">
        <v>1383</v>
      </c>
      <c r="K755" s="36" t="s">
        <v>969</v>
      </c>
      <c r="L755" s="56" t="s">
        <v>84</v>
      </c>
      <c r="M755" s="143"/>
      <c r="N755" s="143"/>
      <c r="O755" s="91">
        <v>60.0</v>
      </c>
      <c r="P755" s="40" t="s">
        <v>518</v>
      </c>
      <c r="Q755" s="40" t="s">
        <v>586</v>
      </c>
      <c r="R755" s="23"/>
      <c r="S755" s="95"/>
      <c r="T755" s="23"/>
      <c r="U755" s="95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ht="19.5" customHeight="1">
      <c r="A756" s="24"/>
      <c r="B756" s="34">
        <v>42.0</v>
      </c>
      <c r="C756" s="225">
        <v>46214.0</v>
      </c>
      <c r="D756" s="143"/>
      <c r="E756" s="143"/>
      <c r="F756" s="143"/>
      <c r="G756" s="143"/>
      <c r="H756" s="149" t="s">
        <v>571</v>
      </c>
      <c r="I756" s="149" t="s">
        <v>572</v>
      </c>
      <c r="J756" s="36" t="s">
        <v>1384</v>
      </c>
      <c r="K756" s="36" t="s">
        <v>969</v>
      </c>
      <c r="L756" s="56" t="s">
        <v>84</v>
      </c>
      <c r="M756" s="143"/>
      <c r="N756" s="143"/>
      <c r="O756" s="91">
        <v>7.0</v>
      </c>
      <c r="P756" s="40" t="s">
        <v>518</v>
      </c>
      <c r="Q756" s="40" t="s">
        <v>452</v>
      </c>
      <c r="R756" s="23"/>
      <c r="S756" s="95"/>
      <c r="T756" s="23"/>
      <c r="U756" s="95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ht="15.75" customHeight="1">
      <c r="A757" s="24"/>
      <c r="B757" s="34">
        <v>43.0</v>
      </c>
      <c r="C757" s="229">
        <v>46216.0</v>
      </c>
      <c r="D757" s="143"/>
      <c r="E757" s="143"/>
      <c r="F757" s="143"/>
      <c r="G757" s="143"/>
      <c r="H757" s="36" t="s">
        <v>1196</v>
      </c>
      <c r="I757" s="36" t="s">
        <v>1385</v>
      </c>
      <c r="J757" s="36" t="s">
        <v>1199</v>
      </c>
      <c r="K757" s="36" t="s">
        <v>1198</v>
      </c>
      <c r="L757" s="56" t="s">
        <v>49</v>
      </c>
      <c r="M757" s="143"/>
      <c r="N757" s="143"/>
      <c r="O757" s="91">
        <v>297.0</v>
      </c>
      <c r="P757" s="40" t="s">
        <v>1159</v>
      </c>
      <c r="Q757" s="40" t="s">
        <v>452</v>
      </c>
      <c r="R757" s="23"/>
      <c r="S757" s="95"/>
      <c r="T757" s="23"/>
      <c r="U757" s="95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ht="15.75" customHeight="1">
      <c r="A758" s="24"/>
      <c r="B758" s="34">
        <v>44.0</v>
      </c>
      <c r="C758" s="229">
        <v>46216.0</v>
      </c>
      <c r="D758" s="36">
        <v>3.0</v>
      </c>
      <c r="E758" s="36" t="s">
        <v>67</v>
      </c>
      <c r="F758" s="36">
        <v>93.0</v>
      </c>
      <c r="G758" s="36">
        <v>7.486994E7</v>
      </c>
      <c r="H758" s="36" t="s">
        <v>1386</v>
      </c>
      <c r="I758" s="36" t="s">
        <v>1387</v>
      </c>
      <c r="J758" s="36" t="s">
        <v>1325</v>
      </c>
      <c r="K758" s="36" t="s">
        <v>1326</v>
      </c>
      <c r="L758" s="56" t="s">
        <v>49</v>
      </c>
      <c r="M758" s="143"/>
      <c r="N758" s="143"/>
      <c r="O758" s="91">
        <v>394.0</v>
      </c>
      <c r="P758" s="40" t="s">
        <v>1159</v>
      </c>
      <c r="Q758" s="40" t="s">
        <v>253</v>
      </c>
      <c r="R758" s="23"/>
      <c r="S758" s="195">
        <v>394.0</v>
      </c>
      <c r="T758" s="23"/>
      <c r="U758" s="95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ht="15.75" customHeight="1">
      <c r="A759" s="24"/>
      <c r="B759" s="34">
        <v>45.0</v>
      </c>
      <c r="C759" s="229">
        <v>46216.0</v>
      </c>
      <c r="D759" s="143"/>
      <c r="E759" s="143"/>
      <c r="F759" s="143"/>
      <c r="G759" s="143"/>
      <c r="H759" s="36" t="s">
        <v>1388</v>
      </c>
      <c r="I759" s="36" t="s">
        <v>1388</v>
      </c>
      <c r="J759" s="36" t="s">
        <v>1220</v>
      </c>
      <c r="K759" s="36" t="s">
        <v>1198</v>
      </c>
      <c r="L759" s="56" t="s">
        <v>49</v>
      </c>
      <c r="M759" s="143"/>
      <c r="N759" s="143"/>
      <c r="O759" s="91">
        <v>97.0</v>
      </c>
      <c r="P759" s="40" t="s">
        <v>1159</v>
      </c>
      <c r="Q759" s="40" t="s">
        <v>452</v>
      </c>
      <c r="R759" s="23"/>
      <c r="S759" s="95"/>
      <c r="T759" s="23"/>
      <c r="U759" s="95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ht="15.75" customHeight="1">
      <c r="A760" s="24"/>
      <c r="B760" s="34">
        <v>46.0</v>
      </c>
      <c r="C760" s="229">
        <v>46216.0</v>
      </c>
      <c r="D760" s="143"/>
      <c r="E760" s="143"/>
      <c r="F760" s="143"/>
      <c r="G760" s="143"/>
      <c r="H760" s="36" t="s">
        <v>1216</v>
      </c>
      <c r="I760" s="36" t="s">
        <v>1389</v>
      </c>
      <c r="J760" s="36" t="s">
        <v>1390</v>
      </c>
      <c r="K760" s="36" t="s">
        <v>1391</v>
      </c>
      <c r="L760" s="56" t="s">
        <v>49</v>
      </c>
      <c r="M760" s="143"/>
      <c r="N760" s="143"/>
      <c r="O760" s="91">
        <v>100.0</v>
      </c>
      <c r="P760" s="40" t="s">
        <v>1159</v>
      </c>
      <c r="Q760" s="40" t="s">
        <v>452</v>
      </c>
      <c r="R760" s="23"/>
      <c r="S760" s="95"/>
      <c r="T760" s="23"/>
      <c r="U760" s="95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ht="15.75" customHeight="1">
      <c r="A761" s="24"/>
      <c r="B761" s="34">
        <v>47.0</v>
      </c>
      <c r="C761" s="307">
        <v>46217.0</v>
      </c>
      <c r="D761" s="143"/>
      <c r="E761" s="143"/>
      <c r="F761" s="143"/>
      <c r="G761" s="143"/>
      <c r="H761" s="36" t="s">
        <v>1392</v>
      </c>
      <c r="I761" s="36" t="s">
        <v>629</v>
      </c>
      <c r="J761" s="36" t="s">
        <v>1393</v>
      </c>
      <c r="K761" s="36" t="s">
        <v>629</v>
      </c>
      <c r="L761" s="56" t="s">
        <v>84</v>
      </c>
      <c r="M761" s="143"/>
      <c r="N761" s="143"/>
      <c r="O761" s="91">
        <v>12.0</v>
      </c>
      <c r="P761" s="40" t="s">
        <v>462</v>
      </c>
      <c r="Q761" s="40" t="s">
        <v>452</v>
      </c>
      <c r="R761" s="23"/>
      <c r="S761" s="95"/>
      <c r="T761" s="23"/>
      <c r="U761" s="95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ht="15.75" customHeight="1">
      <c r="A762" s="24"/>
      <c r="B762" s="34">
        <v>48.0</v>
      </c>
      <c r="C762" s="307">
        <v>46217.0</v>
      </c>
      <c r="D762" s="143"/>
      <c r="E762" s="143"/>
      <c r="F762" s="143"/>
      <c r="G762" s="143"/>
      <c r="H762" s="36" t="s">
        <v>1394</v>
      </c>
      <c r="I762" s="36" t="s">
        <v>1394</v>
      </c>
      <c r="J762" s="36" t="s">
        <v>1395</v>
      </c>
      <c r="K762" s="36" t="s">
        <v>1326</v>
      </c>
      <c r="L762" s="56" t="s">
        <v>49</v>
      </c>
      <c r="M762" s="143"/>
      <c r="N762" s="143"/>
      <c r="O762" s="91">
        <v>394.0</v>
      </c>
      <c r="P762" s="40" t="s">
        <v>1159</v>
      </c>
      <c r="Q762" s="40" t="s">
        <v>452</v>
      </c>
      <c r="R762" s="23"/>
      <c r="S762" s="95"/>
      <c r="T762" s="23"/>
      <c r="U762" s="95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ht="15.75" customHeight="1">
      <c r="A763" s="24"/>
      <c r="B763" s="34">
        <v>49.0</v>
      </c>
      <c r="C763" s="307">
        <v>46217.0</v>
      </c>
      <c r="D763" s="143"/>
      <c r="E763" s="143"/>
      <c r="F763" s="143"/>
      <c r="G763" s="143"/>
      <c r="H763" s="36" t="s">
        <v>1311</v>
      </c>
      <c r="I763" s="36" t="s">
        <v>1312</v>
      </c>
      <c r="J763" s="36" t="s">
        <v>1396</v>
      </c>
      <c r="K763" s="36" t="s">
        <v>1397</v>
      </c>
      <c r="L763" s="56" t="s">
        <v>49</v>
      </c>
      <c r="M763" s="143"/>
      <c r="N763" s="143"/>
      <c r="O763" s="91">
        <v>50.0</v>
      </c>
      <c r="P763" s="40" t="s">
        <v>1159</v>
      </c>
      <c r="Q763" s="40" t="s">
        <v>631</v>
      </c>
      <c r="R763" s="23"/>
      <c r="S763" s="95"/>
      <c r="T763" s="23"/>
      <c r="U763" s="95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ht="15.75" customHeight="1">
      <c r="A764" s="24"/>
      <c r="B764" s="34">
        <v>50.0</v>
      </c>
      <c r="C764" s="307">
        <v>46217.0</v>
      </c>
      <c r="D764" s="143"/>
      <c r="E764" s="143"/>
      <c r="F764" s="143"/>
      <c r="G764" s="36">
        <v>9572626.0</v>
      </c>
      <c r="H764" s="36" t="s">
        <v>1398</v>
      </c>
      <c r="I764" s="36" t="s">
        <v>1399</v>
      </c>
      <c r="J764" s="36" t="s">
        <v>1396</v>
      </c>
      <c r="K764" s="36" t="s">
        <v>1089</v>
      </c>
      <c r="L764" s="56" t="s">
        <v>49</v>
      </c>
      <c r="M764" s="143"/>
      <c r="N764" s="143"/>
      <c r="O764" s="91">
        <v>50.0</v>
      </c>
      <c r="P764" s="40" t="s">
        <v>1159</v>
      </c>
      <c r="Q764" s="40" t="s">
        <v>631</v>
      </c>
      <c r="R764" s="23"/>
      <c r="S764" s="95"/>
      <c r="T764" s="23"/>
      <c r="U764" s="195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ht="15.75" customHeight="1">
      <c r="A765" s="24"/>
      <c r="B765" s="34">
        <v>51.0</v>
      </c>
      <c r="C765" s="307">
        <v>46217.0</v>
      </c>
      <c r="D765" s="143"/>
      <c r="E765" s="143"/>
      <c r="F765" s="143"/>
      <c r="G765" s="143"/>
      <c r="H765" s="36" t="s">
        <v>1337</v>
      </c>
      <c r="I765" s="36" t="s">
        <v>1337</v>
      </c>
      <c r="J765" s="36" t="s">
        <v>1400</v>
      </c>
      <c r="K765" s="36" t="s">
        <v>1161</v>
      </c>
      <c r="L765" s="56" t="s">
        <v>49</v>
      </c>
      <c r="M765" s="143"/>
      <c r="N765" s="143"/>
      <c r="O765" s="91">
        <v>100.0</v>
      </c>
      <c r="P765" s="40" t="s">
        <v>1159</v>
      </c>
      <c r="Q765" s="40" t="s">
        <v>631</v>
      </c>
      <c r="R765" s="23"/>
      <c r="S765" s="95"/>
      <c r="T765" s="23"/>
      <c r="U765" s="95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ht="15.75" customHeight="1">
      <c r="A766" s="24"/>
      <c r="B766" s="34">
        <v>52.0</v>
      </c>
      <c r="C766" s="307">
        <v>46217.0</v>
      </c>
      <c r="D766" s="143"/>
      <c r="E766" s="143"/>
      <c r="F766" s="143"/>
      <c r="G766" s="143"/>
      <c r="H766" s="36" t="s">
        <v>1401</v>
      </c>
      <c r="I766" s="36" t="s">
        <v>1401</v>
      </c>
      <c r="J766" s="36" t="s">
        <v>1402</v>
      </c>
      <c r="K766" s="36" t="s">
        <v>1198</v>
      </c>
      <c r="L766" s="56" t="s">
        <v>49</v>
      </c>
      <c r="M766" s="143"/>
      <c r="N766" s="143"/>
      <c r="O766" s="91">
        <v>394.0</v>
      </c>
      <c r="P766" s="40" t="s">
        <v>1159</v>
      </c>
      <c r="Q766" s="40" t="s">
        <v>452</v>
      </c>
      <c r="R766" s="23"/>
      <c r="S766" s="95"/>
      <c r="T766" s="23"/>
      <c r="U766" s="95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ht="15.75" customHeight="1">
      <c r="A767" s="24"/>
      <c r="B767" s="34">
        <v>53.0</v>
      </c>
      <c r="C767" s="307">
        <v>46217.0</v>
      </c>
      <c r="D767" s="143"/>
      <c r="E767" s="143"/>
      <c r="F767" s="143"/>
      <c r="G767" s="143"/>
      <c r="H767" s="36" t="s">
        <v>1403</v>
      </c>
      <c r="I767" s="36" t="s">
        <v>1404</v>
      </c>
      <c r="J767" s="36" t="s">
        <v>1405</v>
      </c>
      <c r="K767" s="36" t="s">
        <v>1406</v>
      </c>
      <c r="L767" s="56" t="s">
        <v>49</v>
      </c>
      <c r="M767" s="143"/>
      <c r="N767" s="143"/>
      <c r="O767" s="91">
        <v>197.0</v>
      </c>
      <c r="P767" s="40" t="s">
        <v>1159</v>
      </c>
      <c r="Q767" s="40" t="s">
        <v>452</v>
      </c>
      <c r="R767" s="23"/>
      <c r="S767" s="95"/>
      <c r="T767" s="23"/>
      <c r="U767" s="95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ht="15.75" customHeight="1">
      <c r="A768" s="24"/>
      <c r="B768" s="34"/>
      <c r="C768" s="307">
        <v>46218.0</v>
      </c>
      <c r="D768" s="143"/>
      <c r="E768" s="143"/>
      <c r="F768" s="143"/>
      <c r="G768" s="143"/>
      <c r="H768" s="36" t="s">
        <v>1407</v>
      </c>
      <c r="I768" s="36" t="s">
        <v>884</v>
      </c>
      <c r="J768" s="36" t="s">
        <v>1408</v>
      </c>
      <c r="K768" s="36"/>
      <c r="L768" s="56" t="s">
        <v>84</v>
      </c>
      <c r="M768" s="143"/>
      <c r="N768" s="143"/>
      <c r="O768" s="91">
        <v>7.0</v>
      </c>
      <c r="P768" s="40" t="s">
        <v>462</v>
      </c>
      <c r="Q768" s="40" t="s">
        <v>631</v>
      </c>
      <c r="R768" s="23"/>
      <c r="S768" s="95"/>
      <c r="T768" s="23"/>
      <c r="U768" s="95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ht="15.75" customHeight="1">
      <c r="A769" s="24"/>
      <c r="B769" s="34">
        <v>54.0</v>
      </c>
      <c r="C769" s="235">
        <v>46218.0</v>
      </c>
      <c r="D769" s="143"/>
      <c r="E769" s="143"/>
      <c r="F769" s="143"/>
      <c r="G769" s="143"/>
      <c r="H769" s="36" t="s">
        <v>1398</v>
      </c>
      <c r="I769" s="36" t="s">
        <v>1409</v>
      </c>
      <c r="J769" s="36" t="s">
        <v>1410</v>
      </c>
      <c r="K769" s="36"/>
      <c r="L769" s="56" t="s">
        <v>84</v>
      </c>
      <c r="M769" s="143"/>
      <c r="N769" s="143"/>
      <c r="O769" s="91">
        <v>60.0</v>
      </c>
      <c r="P769" s="40" t="s">
        <v>462</v>
      </c>
      <c r="Q769" s="40" t="s">
        <v>631</v>
      </c>
      <c r="R769" s="23"/>
      <c r="S769" s="95"/>
      <c r="T769" s="23"/>
      <c r="U769" s="95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ht="15.75" customHeight="1">
      <c r="A770" s="24"/>
      <c r="B770" s="34">
        <v>55.0</v>
      </c>
      <c r="C770" s="235">
        <v>46218.0</v>
      </c>
      <c r="D770" s="36">
        <v>3.0</v>
      </c>
      <c r="E770" s="36" t="s">
        <v>67</v>
      </c>
      <c r="F770" s="36">
        <v>103.0</v>
      </c>
      <c r="G770" s="36">
        <v>1.8067813E7</v>
      </c>
      <c r="H770" s="36" t="s">
        <v>1411</v>
      </c>
      <c r="I770" s="36" t="s">
        <v>1412</v>
      </c>
      <c r="J770" s="36" t="s">
        <v>1413</v>
      </c>
      <c r="K770" s="36"/>
      <c r="L770" s="56" t="s">
        <v>84</v>
      </c>
      <c r="M770" s="143"/>
      <c r="N770" s="143"/>
      <c r="O770" s="91">
        <v>220.0</v>
      </c>
      <c r="P770" s="40" t="s">
        <v>462</v>
      </c>
      <c r="Q770" s="40" t="s">
        <v>631</v>
      </c>
      <c r="R770" s="23"/>
      <c r="S770" s="195">
        <v>220.0</v>
      </c>
      <c r="T770" s="23"/>
      <c r="U770" s="195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ht="15.75" customHeight="1">
      <c r="A771" s="24"/>
      <c r="B771" s="34">
        <v>56.0</v>
      </c>
      <c r="C771" s="235">
        <v>46218.0</v>
      </c>
      <c r="D771" s="143"/>
      <c r="E771" s="143"/>
      <c r="F771" s="143"/>
      <c r="G771" s="143"/>
      <c r="H771" s="36" t="s">
        <v>1414</v>
      </c>
      <c r="I771" s="36" t="s">
        <v>1415</v>
      </c>
      <c r="J771" s="36" t="s">
        <v>1199</v>
      </c>
      <c r="K771" s="36" t="s">
        <v>1032</v>
      </c>
      <c r="L771" s="56" t="s">
        <v>49</v>
      </c>
      <c r="M771" s="143"/>
      <c r="N771" s="143"/>
      <c r="O771" s="91">
        <v>329.0</v>
      </c>
      <c r="P771" s="40" t="s">
        <v>1159</v>
      </c>
      <c r="Q771" s="40" t="s">
        <v>253</v>
      </c>
      <c r="R771" s="23"/>
      <c r="S771" s="95"/>
      <c r="T771" s="23"/>
      <c r="U771" s="95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ht="15.75" customHeight="1">
      <c r="A772" s="24"/>
      <c r="B772" s="34">
        <v>57.0</v>
      </c>
      <c r="C772" s="235">
        <v>46218.0</v>
      </c>
      <c r="D772" s="36">
        <v>3.0</v>
      </c>
      <c r="E772" s="36" t="s">
        <v>67</v>
      </c>
      <c r="F772" s="36">
        <v>104.0</v>
      </c>
      <c r="G772" s="36">
        <v>7.2884174E7</v>
      </c>
      <c r="H772" s="36" t="s">
        <v>1416</v>
      </c>
      <c r="I772" s="308" t="s">
        <v>1417</v>
      </c>
      <c r="J772" s="36" t="s">
        <v>1418</v>
      </c>
      <c r="K772" s="36" t="s">
        <v>1184</v>
      </c>
      <c r="L772" s="56" t="s">
        <v>49</v>
      </c>
      <c r="M772" s="143"/>
      <c r="N772" s="143"/>
      <c r="O772" s="91">
        <v>197.0</v>
      </c>
      <c r="P772" s="40" t="s">
        <v>1159</v>
      </c>
      <c r="Q772" s="40" t="s">
        <v>452</v>
      </c>
      <c r="R772" s="23"/>
      <c r="S772" s="195">
        <v>197.0</v>
      </c>
      <c r="T772" s="23"/>
      <c r="U772" s="195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ht="15.75" customHeight="1">
      <c r="A773" s="24"/>
      <c r="B773" s="34">
        <v>58.0</v>
      </c>
      <c r="C773" s="298">
        <v>46219.0</v>
      </c>
      <c r="D773" s="143"/>
      <c r="E773" s="143"/>
      <c r="F773" s="143"/>
      <c r="G773" s="143"/>
      <c r="H773" s="36" t="s">
        <v>1419</v>
      </c>
      <c r="I773" s="36" t="s">
        <v>1419</v>
      </c>
      <c r="J773" s="36" t="s">
        <v>1199</v>
      </c>
      <c r="K773" s="36" t="s">
        <v>1378</v>
      </c>
      <c r="L773" s="56" t="s">
        <v>49</v>
      </c>
      <c r="M773" s="143"/>
      <c r="N773" s="143"/>
      <c r="O773" s="91">
        <v>297.0</v>
      </c>
      <c r="P773" s="40" t="s">
        <v>1159</v>
      </c>
      <c r="Q773" s="40" t="s">
        <v>452</v>
      </c>
      <c r="R773" s="23"/>
      <c r="S773" s="95"/>
      <c r="T773" s="23"/>
      <c r="U773" s="95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ht="15.75" customHeight="1">
      <c r="A774" s="24"/>
      <c r="B774" s="34">
        <v>59.0</v>
      </c>
      <c r="C774" s="298">
        <v>46219.0</v>
      </c>
      <c r="D774" s="143"/>
      <c r="E774" s="143"/>
      <c r="F774" s="143"/>
      <c r="G774" s="143"/>
      <c r="H774" s="36" t="s">
        <v>1420</v>
      </c>
      <c r="I774" s="36" t="s">
        <v>856</v>
      </c>
      <c r="J774" s="36" t="s">
        <v>1421</v>
      </c>
      <c r="K774" s="36" t="s">
        <v>1020</v>
      </c>
      <c r="L774" s="56" t="s">
        <v>49</v>
      </c>
      <c r="M774" s="143"/>
      <c r="N774" s="143"/>
      <c r="O774" s="91">
        <v>383.0</v>
      </c>
      <c r="P774" s="40" t="s">
        <v>1159</v>
      </c>
      <c r="Q774" s="40" t="s">
        <v>452</v>
      </c>
      <c r="R774" s="23"/>
      <c r="S774" s="95"/>
      <c r="T774" s="23"/>
      <c r="U774" s="95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ht="15.75" customHeight="1">
      <c r="A775" s="24"/>
      <c r="B775" s="34">
        <v>60.0</v>
      </c>
      <c r="C775" s="298">
        <v>46219.0</v>
      </c>
      <c r="D775" s="143"/>
      <c r="E775" s="143"/>
      <c r="F775" s="143"/>
      <c r="G775" s="143"/>
      <c r="H775" s="36" t="s">
        <v>1216</v>
      </c>
      <c r="I775" s="36" t="s">
        <v>1389</v>
      </c>
      <c r="J775" s="36" t="s">
        <v>1422</v>
      </c>
      <c r="K775" s="36" t="s">
        <v>1020</v>
      </c>
      <c r="L775" s="56" t="s">
        <v>49</v>
      </c>
      <c r="M775" s="143"/>
      <c r="N775" s="143"/>
      <c r="O775" s="91">
        <v>100.0</v>
      </c>
      <c r="P775" s="40" t="s">
        <v>1159</v>
      </c>
      <c r="Q775" s="40" t="s">
        <v>452</v>
      </c>
      <c r="R775" s="23"/>
      <c r="S775" s="95"/>
      <c r="T775" s="23"/>
      <c r="U775" s="95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ht="15.75" customHeight="1">
      <c r="A776" s="24"/>
      <c r="B776" s="34">
        <v>61.0</v>
      </c>
      <c r="C776" s="298">
        <v>46219.0</v>
      </c>
      <c r="D776" s="143"/>
      <c r="E776" s="143"/>
      <c r="F776" s="143"/>
      <c r="G776" s="143"/>
      <c r="H776" s="36" t="s">
        <v>1361</v>
      </c>
      <c r="I776" s="36" t="s">
        <v>875</v>
      </c>
      <c r="J776" s="36" t="s">
        <v>1168</v>
      </c>
      <c r="K776" s="36" t="s">
        <v>1089</v>
      </c>
      <c r="L776" s="56" t="s">
        <v>49</v>
      </c>
      <c r="M776" s="143"/>
      <c r="N776" s="143"/>
      <c r="O776" s="91">
        <v>32.0</v>
      </c>
      <c r="P776" s="40" t="s">
        <v>1159</v>
      </c>
      <c r="Q776" s="40" t="s">
        <v>631</v>
      </c>
      <c r="R776" s="23"/>
      <c r="S776" s="95"/>
      <c r="T776" s="23"/>
      <c r="U776" s="95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ht="15.75" customHeight="1">
      <c r="A777" s="24"/>
      <c r="B777" s="34">
        <v>62.0</v>
      </c>
      <c r="C777" s="298">
        <v>46219.0</v>
      </c>
      <c r="D777" s="143"/>
      <c r="E777" s="143"/>
      <c r="F777" s="143"/>
      <c r="G777" s="143"/>
      <c r="H777" s="36" t="s">
        <v>181</v>
      </c>
      <c r="I777" s="36" t="s">
        <v>1423</v>
      </c>
      <c r="J777" s="36" t="s">
        <v>1424</v>
      </c>
      <c r="K777" s="36"/>
      <c r="L777" s="56" t="s">
        <v>84</v>
      </c>
      <c r="M777" s="143"/>
      <c r="N777" s="143"/>
      <c r="O777" s="91">
        <v>20.0</v>
      </c>
      <c r="P777" s="40" t="s">
        <v>462</v>
      </c>
      <c r="Q777" s="40" t="s">
        <v>631</v>
      </c>
      <c r="R777" s="23"/>
      <c r="S777" s="95"/>
      <c r="T777" s="23"/>
      <c r="U777" s="95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ht="15.75" customHeight="1">
      <c r="A778" s="24"/>
      <c r="B778" s="34">
        <v>63.0</v>
      </c>
      <c r="C778" s="298">
        <v>46219.0</v>
      </c>
      <c r="D778" s="143"/>
      <c r="E778" s="143"/>
      <c r="F778" s="143"/>
      <c r="G778" s="143"/>
      <c r="H778" s="36" t="s">
        <v>1407</v>
      </c>
      <c r="I778" s="36" t="s">
        <v>1425</v>
      </c>
      <c r="J778" s="36" t="s">
        <v>1274</v>
      </c>
      <c r="K778" s="36"/>
      <c r="L778" s="56" t="s">
        <v>84</v>
      </c>
      <c r="M778" s="143"/>
      <c r="N778" s="143"/>
      <c r="O778" s="91">
        <v>4.0</v>
      </c>
      <c r="P778" s="40" t="s">
        <v>462</v>
      </c>
      <c r="Q778" s="40" t="s">
        <v>631</v>
      </c>
      <c r="R778" s="23"/>
      <c r="S778" s="95"/>
      <c r="T778" s="23"/>
      <c r="U778" s="95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ht="15.75" customHeight="1">
      <c r="A779" s="24"/>
      <c r="B779" s="34">
        <v>64.0</v>
      </c>
      <c r="C779" s="283">
        <v>46220.0</v>
      </c>
      <c r="D779" s="143"/>
      <c r="E779" s="143"/>
      <c r="F779" s="143"/>
      <c r="G779" s="143"/>
      <c r="H779" s="36" t="s">
        <v>1426</v>
      </c>
      <c r="I779" s="36" t="s">
        <v>1427</v>
      </c>
      <c r="J779" s="36" t="s">
        <v>1199</v>
      </c>
      <c r="K779" s="36" t="s">
        <v>1428</v>
      </c>
      <c r="L779" s="56" t="s">
        <v>49</v>
      </c>
      <c r="M779" s="143"/>
      <c r="N779" s="143"/>
      <c r="O779" s="299" t="s">
        <v>1228</v>
      </c>
      <c r="P779" s="40" t="s">
        <v>1159</v>
      </c>
      <c r="Q779" s="40" t="s">
        <v>586</v>
      </c>
      <c r="R779" s="23"/>
      <c r="S779" s="95"/>
      <c r="T779" s="23"/>
      <c r="U779" s="95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ht="15.75" customHeight="1">
      <c r="A780" s="24"/>
      <c r="B780" s="34">
        <v>65.0</v>
      </c>
      <c r="C780" s="223">
        <v>46221.0</v>
      </c>
      <c r="D780" s="36">
        <v>3.0</v>
      </c>
      <c r="E780" s="36" t="s">
        <v>67</v>
      </c>
      <c r="F780" s="36">
        <v>94.0</v>
      </c>
      <c r="G780" s="36">
        <v>9507030.0</v>
      </c>
      <c r="H780" s="36" t="s">
        <v>1429</v>
      </c>
      <c r="I780" s="36" t="s">
        <v>1430</v>
      </c>
      <c r="J780" s="36" t="s">
        <v>1431</v>
      </c>
      <c r="K780" s="36"/>
      <c r="L780" s="56" t="s">
        <v>84</v>
      </c>
      <c r="M780" s="143"/>
      <c r="N780" s="143"/>
      <c r="O780" s="91">
        <v>60.0</v>
      </c>
      <c r="P780" s="40" t="s">
        <v>462</v>
      </c>
      <c r="Q780" s="40" t="s">
        <v>452</v>
      </c>
      <c r="R780" s="23"/>
      <c r="S780" s="195">
        <v>60.0</v>
      </c>
      <c r="T780" s="23"/>
      <c r="U780" s="95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ht="15.75" customHeight="1">
      <c r="A781" s="24"/>
      <c r="B781" s="34">
        <v>66.0</v>
      </c>
      <c r="C781" s="234">
        <v>46223.0</v>
      </c>
      <c r="D781" s="143"/>
      <c r="E781" s="143"/>
      <c r="F781" s="143"/>
      <c r="G781" s="143"/>
      <c r="H781" s="226" t="s">
        <v>1216</v>
      </c>
      <c r="I781" s="226" t="s">
        <v>1389</v>
      </c>
      <c r="J781" s="226" t="s">
        <v>1432</v>
      </c>
      <c r="K781" s="309"/>
      <c r="L781" s="56" t="s">
        <v>84</v>
      </c>
      <c r="M781" s="143"/>
      <c r="N781" s="143"/>
      <c r="O781" s="91">
        <v>110.0</v>
      </c>
      <c r="P781" s="40" t="s">
        <v>1159</v>
      </c>
      <c r="Q781" s="40" t="s">
        <v>452</v>
      </c>
      <c r="R781" s="23"/>
      <c r="S781" s="95"/>
      <c r="T781" s="23"/>
      <c r="U781" s="95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ht="15.75" customHeight="1">
      <c r="A782" s="24"/>
      <c r="B782" s="34">
        <v>67.0</v>
      </c>
      <c r="C782" s="234">
        <v>46223.0</v>
      </c>
      <c r="D782" s="143"/>
      <c r="E782" s="143"/>
      <c r="F782" s="143"/>
      <c r="G782" s="143"/>
      <c r="H782" s="36" t="s">
        <v>1433</v>
      </c>
      <c r="I782" s="36" t="s">
        <v>1434</v>
      </c>
      <c r="J782" s="36" t="s">
        <v>1199</v>
      </c>
      <c r="K782" s="36" t="s">
        <v>960</v>
      </c>
      <c r="L782" s="56" t="s">
        <v>49</v>
      </c>
      <c r="M782" s="143"/>
      <c r="N782" s="143"/>
      <c r="O782" s="91">
        <v>297.0</v>
      </c>
      <c r="P782" s="40" t="s">
        <v>1159</v>
      </c>
      <c r="Q782" s="40" t="s">
        <v>452</v>
      </c>
      <c r="R782" s="23"/>
      <c r="S782" s="95"/>
      <c r="T782" s="23"/>
      <c r="U782" s="95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ht="15.75" customHeight="1">
      <c r="A783" s="24"/>
      <c r="B783" s="34">
        <v>68.0</v>
      </c>
      <c r="C783" s="234">
        <v>46223.0</v>
      </c>
      <c r="D783" s="143"/>
      <c r="E783" s="143"/>
      <c r="F783" s="143"/>
      <c r="G783" s="143"/>
      <c r="H783" s="36" t="s">
        <v>1416</v>
      </c>
      <c r="I783" s="308" t="s">
        <v>1417</v>
      </c>
      <c r="J783" s="36" t="s">
        <v>1435</v>
      </c>
      <c r="K783" s="36" t="s">
        <v>1436</v>
      </c>
      <c r="L783" s="56" t="s">
        <v>49</v>
      </c>
      <c r="M783" s="143"/>
      <c r="N783" s="143"/>
      <c r="O783" s="91">
        <v>197.0</v>
      </c>
      <c r="P783" s="40" t="s">
        <v>462</v>
      </c>
      <c r="Q783" s="40" t="s">
        <v>631</v>
      </c>
      <c r="R783" s="23"/>
      <c r="S783" s="95"/>
      <c r="T783" s="23"/>
      <c r="U783" s="95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ht="15.75" customHeight="1">
      <c r="A784" s="24"/>
      <c r="B784" s="34">
        <v>69.0</v>
      </c>
      <c r="C784" s="234">
        <v>46223.0</v>
      </c>
      <c r="D784" s="143"/>
      <c r="E784" s="143"/>
      <c r="F784" s="143"/>
      <c r="G784" s="143"/>
      <c r="H784" s="36" t="s">
        <v>1416</v>
      </c>
      <c r="I784" s="308" t="s">
        <v>1417</v>
      </c>
      <c r="J784" s="36" t="s">
        <v>1437</v>
      </c>
      <c r="K784" s="36"/>
      <c r="L784" s="56" t="s">
        <v>84</v>
      </c>
      <c r="M784" s="143"/>
      <c r="N784" s="143"/>
      <c r="O784" s="91">
        <v>200.0</v>
      </c>
      <c r="P784" s="40" t="s">
        <v>462</v>
      </c>
      <c r="Q784" s="40" t="s">
        <v>452</v>
      </c>
      <c r="R784" s="23"/>
      <c r="S784" s="95"/>
      <c r="T784" s="23"/>
      <c r="U784" s="95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ht="15.75" customHeight="1">
      <c r="A785" s="24"/>
      <c r="B785" s="34">
        <v>70.0</v>
      </c>
      <c r="C785" s="229">
        <v>46224.0</v>
      </c>
      <c r="D785" s="143"/>
      <c r="E785" s="143"/>
      <c r="F785" s="143"/>
      <c r="G785" s="143"/>
      <c r="H785" s="36" t="s">
        <v>1438</v>
      </c>
      <c r="I785" s="36" t="s">
        <v>1439</v>
      </c>
      <c r="J785" s="36" t="s">
        <v>1199</v>
      </c>
      <c r="K785" s="36" t="s">
        <v>1027</v>
      </c>
      <c r="L785" s="56" t="s">
        <v>49</v>
      </c>
      <c r="M785" s="143"/>
      <c r="N785" s="143"/>
      <c r="O785" s="91">
        <v>297.0</v>
      </c>
      <c r="P785" s="40" t="s">
        <v>1159</v>
      </c>
      <c r="Q785" s="40" t="s">
        <v>452</v>
      </c>
      <c r="R785" s="23"/>
      <c r="S785" s="95"/>
      <c r="T785" s="23"/>
      <c r="U785" s="95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ht="15.75" customHeight="1">
      <c r="A786" s="24"/>
      <c r="B786" s="34">
        <v>71.0</v>
      </c>
      <c r="C786" s="229">
        <v>46224.0</v>
      </c>
      <c r="D786" s="143"/>
      <c r="E786" s="143"/>
      <c r="F786" s="143"/>
      <c r="G786" s="143"/>
      <c r="H786" s="36" t="s">
        <v>1440</v>
      </c>
      <c r="I786" s="36" t="s">
        <v>1367</v>
      </c>
      <c r="J786" s="36" t="s">
        <v>1199</v>
      </c>
      <c r="K786" s="36" t="s">
        <v>1089</v>
      </c>
      <c r="L786" s="56" t="s">
        <v>49</v>
      </c>
      <c r="M786" s="143"/>
      <c r="N786" s="143"/>
      <c r="O786" s="91">
        <v>297.0</v>
      </c>
      <c r="P786" s="40" t="s">
        <v>1159</v>
      </c>
      <c r="Q786" s="40" t="s">
        <v>631</v>
      </c>
      <c r="R786" s="23"/>
      <c r="S786" s="95"/>
      <c r="T786" s="23"/>
      <c r="U786" s="95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ht="15.75" customHeight="1">
      <c r="A787" s="24"/>
      <c r="B787" s="34">
        <v>72.0</v>
      </c>
      <c r="C787" s="229">
        <v>46224.0</v>
      </c>
      <c r="D787" s="143"/>
      <c r="E787" s="143"/>
      <c r="F787" s="143"/>
      <c r="G787" s="143"/>
      <c r="H787" s="36" t="s">
        <v>1311</v>
      </c>
      <c r="I787" s="36" t="s">
        <v>1312</v>
      </c>
      <c r="J787" s="36" t="s">
        <v>1441</v>
      </c>
      <c r="K787" s="36" t="s">
        <v>1198</v>
      </c>
      <c r="L787" s="56" t="s">
        <v>49</v>
      </c>
      <c r="M787" s="143"/>
      <c r="N787" s="143"/>
      <c r="O787" s="91">
        <v>50.0</v>
      </c>
      <c r="P787" s="40" t="s">
        <v>1159</v>
      </c>
      <c r="Q787" s="40" t="s">
        <v>631</v>
      </c>
      <c r="R787" s="23"/>
      <c r="S787" s="95"/>
      <c r="T787" s="23"/>
      <c r="U787" s="95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ht="21.75" customHeight="1">
      <c r="A788" s="24"/>
      <c r="B788" s="34">
        <v>73.0</v>
      </c>
      <c r="C788" s="229">
        <v>46224.0</v>
      </c>
      <c r="D788" s="143"/>
      <c r="E788" s="143"/>
      <c r="F788" s="143"/>
      <c r="G788" s="143"/>
      <c r="H788" s="264" t="s">
        <v>1442</v>
      </c>
      <c r="I788" s="264" t="s">
        <v>1443</v>
      </c>
      <c r="J788" s="263" t="s">
        <v>1444</v>
      </c>
      <c r="K788" s="264" t="s">
        <v>1445</v>
      </c>
      <c r="L788" s="56" t="s">
        <v>49</v>
      </c>
      <c r="M788" s="143"/>
      <c r="N788" s="143"/>
      <c r="O788" s="91">
        <v>30.0</v>
      </c>
      <c r="P788" s="40" t="s">
        <v>1159</v>
      </c>
      <c r="Q788" s="40" t="s">
        <v>586</v>
      </c>
      <c r="R788" s="23"/>
      <c r="S788" s="95"/>
      <c r="T788" s="23"/>
      <c r="U788" s="95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ht="15.75" customHeight="1">
      <c r="A789" s="24"/>
      <c r="B789" s="34">
        <v>74.0</v>
      </c>
      <c r="C789" s="229">
        <v>46224.0</v>
      </c>
      <c r="D789" s="36">
        <v>3.0</v>
      </c>
      <c r="E789" s="36" t="s">
        <v>67</v>
      </c>
      <c r="F789" s="36">
        <v>105.0</v>
      </c>
      <c r="G789" s="36">
        <v>4.0976607E7</v>
      </c>
      <c r="H789" s="36" t="s">
        <v>1446</v>
      </c>
      <c r="I789" s="36" t="s">
        <v>1447</v>
      </c>
      <c r="J789" s="36" t="s">
        <v>1448</v>
      </c>
      <c r="K789" s="36" t="s">
        <v>1449</v>
      </c>
      <c r="L789" s="56" t="s">
        <v>49</v>
      </c>
      <c r="M789" s="143"/>
      <c r="N789" s="143"/>
      <c r="O789" s="91">
        <v>327.0</v>
      </c>
      <c r="P789" s="40" t="s">
        <v>1159</v>
      </c>
      <c r="Q789" s="40" t="s">
        <v>452</v>
      </c>
      <c r="R789" s="23"/>
      <c r="S789" s="195">
        <v>327.0</v>
      </c>
      <c r="T789" s="23"/>
      <c r="U789" s="195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ht="15.75" customHeight="1">
      <c r="A790" s="24"/>
      <c r="B790" s="34">
        <v>75.0</v>
      </c>
      <c r="C790" s="229">
        <v>46224.0</v>
      </c>
      <c r="D790" s="143"/>
      <c r="E790" s="143"/>
      <c r="F790" s="143"/>
      <c r="G790" s="143"/>
      <c r="H790" s="36" t="s">
        <v>1450</v>
      </c>
      <c r="I790" s="36" t="s">
        <v>1451</v>
      </c>
      <c r="J790" s="36" t="s">
        <v>1199</v>
      </c>
      <c r="K790" s="36" t="s">
        <v>1015</v>
      </c>
      <c r="L790" s="56" t="s">
        <v>49</v>
      </c>
      <c r="M790" s="143"/>
      <c r="N790" s="143"/>
      <c r="O790" s="91">
        <v>297.0</v>
      </c>
      <c r="P790" s="40" t="s">
        <v>1159</v>
      </c>
      <c r="Q790" s="40" t="s">
        <v>452</v>
      </c>
      <c r="R790" s="23"/>
      <c r="S790" s="95"/>
      <c r="T790" s="23"/>
      <c r="U790" s="95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ht="15.75" customHeight="1">
      <c r="A791" s="24"/>
      <c r="B791" s="34">
        <v>76.0</v>
      </c>
      <c r="C791" s="229">
        <v>46224.0</v>
      </c>
      <c r="D791" s="143"/>
      <c r="E791" s="143"/>
      <c r="F791" s="143"/>
      <c r="G791" s="143"/>
      <c r="H791" s="36" t="s">
        <v>1452</v>
      </c>
      <c r="I791" s="36" t="s">
        <v>1453</v>
      </c>
      <c r="J791" s="36" t="s">
        <v>1199</v>
      </c>
      <c r="K791" s="36" t="s">
        <v>1454</v>
      </c>
      <c r="L791" s="56" t="s">
        <v>49</v>
      </c>
      <c r="M791" s="143"/>
      <c r="N791" s="143"/>
      <c r="O791" s="91">
        <v>297.0</v>
      </c>
      <c r="P791" s="40" t="s">
        <v>1159</v>
      </c>
      <c r="Q791" s="40" t="s">
        <v>253</v>
      </c>
      <c r="R791" s="23"/>
      <c r="S791" s="95"/>
      <c r="T791" s="23"/>
      <c r="U791" s="95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ht="15.75" customHeight="1">
      <c r="A792" s="24"/>
      <c r="B792" s="34">
        <v>77.0</v>
      </c>
      <c r="C792" s="310">
        <v>46225.0</v>
      </c>
      <c r="D792" s="36">
        <v>3.0</v>
      </c>
      <c r="E792" s="36" t="s">
        <v>67</v>
      </c>
      <c r="F792" s="36">
        <v>95.0</v>
      </c>
      <c r="G792" s="36">
        <v>1.8067813E7</v>
      </c>
      <c r="H792" s="36" t="s">
        <v>1411</v>
      </c>
      <c r="I792" s="36" t="s">
        <v>1455</v>
      </c>
      <c r="J792" s="36" t="s">
        <v>1199</v>
      </c>
      <c r="K792" s="36" t="s">
        <v>1456</v>
      </c>
      <c r="L792" s="56" t="s">
        <v>49</v>
      </c>
      <c r="M792" s="143"/>
      <c r="N792" s="143"/>
      <c r="O792" s="91">
        <v>522.0</v>
      </c>
      <c r="P792" s="40" t="s">
        <v>1159</v>
      </c>
      <c r="Q792" s="40" t="s">
        <v>631</v>
      </c>
      <c r="R792" s="23"/>
      <c r="S792" s="195">
        <v>522.0</v>
      </c>
      <c r="T792" s="23"/>
      <c r="U792" s="95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ht="15.75" customHeight="1">
      <c r="A793" s="24"/>
      <c r="B793" s="34">
        <v>78.0</v>
      </c>
      <c r="C793" s="310">
        <v>46225.0</v>
      </c>
      <c r="D793" s="143"/>
      <c r="E793" s="143"/>
      <c r="F793" s="143"/>
      <c r="G793" s="143"/>
      <c r="H793" s="36" t="s">
        <v>1457</v>
      </c>
      <c r="I793" s="36" t="s">
        <v>1458</v>
      </c>
      <c r="J793" s="36" t="s">
        <v>1459</v>
      </c>
      <c r="K793" s="36" t="s">
        <v>1454</v>
      </c>
      <c r="L793" s="56" t="s">
        <v>49</v>
      </c>
      <c r="M793" s="143"/>
      <c r="N793" s="143"/>
      <c r="O793" s="91">
        <v>30.0</v>
      </c>
      <c r="P793" s="40" t="s">
        <v>1159</v>
      </c>
      <c r="Q793" s="40" t="s">
        <v>631</v>
      </c>
      <c r="R793" s="23"/>
      <c r="S793" s="95"/>
      <c r="T793" s="23"/>
      <c r="U793" s="95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ht="15.75" customHeight="1">
      <c r="A794" s="24"/>
      <c r="B794" s="34">
        <v>79.0</v>
      </c>
      <c r="C794" s="220">
        <v>46227.0</v>
      </c>
      <c r="D794" s="143"/>
      <c r="E794" s="143"/>
      <c r="F794" s="143"/>
      <c r="G794" s="143"/>
      <c r="H794" s="36" t="s">
        <v>1282</v>
      </c>
      <c r="I794" s="36" t="s">
        <v>1460</v>
      </c>
      <c r="J794" s="36" t="s">
        <v>1199</v>
      </c>
      <c r="K794" s="36" t="s">
        <v>1001</v>
      </c>
      <c r="L794" s="56" t="s">
        <v>49</v>
      </c>
      <c r="M794" s="143"/>
      <c r="N794" s="143"/>
      <c r="O794" s="91">
        <v>297.0</v>
      </c>
      <c r="P794" s="40" t="s">
        <v>1159</v>
      </c>
      <c r="Q794" s="40" t="s">
        <v>452</v>
      </c>
      <c r="R794" s="23"/>
      <c r="S794" s="95"/>
      <c r="T794" s="23"/>
      <c r="U794" s="95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ht="15.75" customHeight="1">
      <c r="A795" s="24"/>
      <c r="B795" s="34">
        <v>80.0</v>
      </c>
      <c r="C795" s="220">
        <v>46227.0</v>
      </c>
      <c r="D795" s="143"/>
      <c r="E795" s="143"/>
      <c r="F795" s="143"/>
      <c r="G795" s="143"/>
      <c r="H795" s="36" t="s">
        <v>1461</v>
      </c>
      <c r="I795" s="36" t="s">
        <v>1462</v>
      </c>
      <c r="J795" s="36" t="s">
        <v>1313</v>
      </c>
      <c r="K795" s="36" t="s">
        <v>1463</v>
      </c>
      <c r="L795" s="56" t="s">
        <v>49</v>
      </c>
      <c r="M795" s="143"/>
      <c r="N795" s="143"/>
      <c r="O795" s="91">
        <v>50.0</v>
      </c>
      <c r="P795" s="40" t="s">
        <v>1159</v>
      </c>
      <c r="Q795" s="40" t="s">
        <v>253</v>
      </c>
      <c r="R795" s="23"/>
      <c r="S795" s="95"/>
      <c r="T795" s="23"/>
      <c r="U795" s="95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ht="15.75" customHeight="1">
      <c r="A796" s="24"/>
      <c r="B796" s="34">
        <v>81.0</v>
      </c>
      <c r="C796" s="228">
        <v>46228.0</v>
      </c>
      <c r="D796" s="143"/>
      <c r="E796" s="143"/>
      <c r="F796" s="143"/>
      <c r="G796" s="143"/>
      <c r="H796" s="36" t="s">
        <v>1333</v>
      </c>
      <c r="I796" s="36" t="s">
        <v>1464</v>
      </c>
      <c r="J796" s="36" t="s">
        <v>1465</v>
      </c>
      <c r="K796" s="36" t="s">
        <v>960</v>
      </c>
      <c r="L796" s="56" t="s">
        <v>49</v>
      </c>
      <c r="M796" s="143"/>
      <c r="N796" s="143"/>
      <c r="O796" s="91">
        <v>350.0</v>
      </c>
      <c r="P796" s="40" t="s">
        <v>1159</v>
      </c>
      <c r="Q796" s="40" t="s">
        <v>452</v>
      </c>
      <c r="R796" s="23"/>
      <c r="S796" s="95"/>
      <c r="T796" s="23"/>
      <c r="U796" s="95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ht="15.75" customHeight="1">
      <c r="A797" s="24"/>
      <c r="B797" s="34">
        <v>82.0</v>
      </c>
      <c r="C797" s="228">
        <v>46228.0</v>
      </c>
      <c r="D797" s="143"/>
      <c r="E797" s="143"/>
      <c r="F797" s="143"/>
      <c r="G797" s="143"/>
      <c r="H797" s="36" t="s">
        <v>1466</v>
      </c>
      <c r="I797" s="36" t="s">
        <v>1467</v>
      </c>
      <c r="J797" s="36" t="s">
        <v>1468</v>
      </c>
      <c r="K797" s="36" t="s">
        <v>960</v>
      </c>
      <c r="L797" s="56" t="s">
        <v>49</v>
      </c>
      <c r="M797" s="143"/>
      <c r="N797" s="143"/>
      <c r="O797" s="91">
        <v>30.0</v>
      </c>
      <c r="P797" s="40" t="s">
        <v>1159</v>
      </c>
      <c r="Q797" s="40" t="s">
        <v>452</v>
      </c>
      <c r="R797" s="23"/>
      <c r="S797" s="95"/>
      <c r="T797" s="23"/>
      <c r="U797" s="95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ht="15.75" customHeight="1">
      <c r="A798" s="24"/>
      <c r="B798" s="34">
        <v>83.0</v>
      </c>
      <c r="C798" s="228">
        <v>46228.0</v>
      </c>
      <c r="D798" s="143"/>
      <c r="E798" s="143"/>
      <c r="F798" s="143"/>
      <c r="G798" s="143"/>
      <c r="H798" s="36" t="s">
        <v>1469</v>
      </c>
      <c r="I798" s="36" t="s">
        <v>884</v>
      </c>
      <c r="J798" s="36" t="s">
        <v>1470</v>
      </c>
      <c r="K798" s="36"/>
      <c r="L798" s="56" t="s">
        <v>84</v>
      </c>
      <c r="M798" s="143"/>
      <c r="N798" s="143"/>
      <c r="O798" s="91">
        <v>7.0</v>
      </c>
      <c r="P798" s="40" t="s">
        <v>1159</v>
      </c>
      <c r="Q798" s="40" t="s">
        <v>452</v>
      </c>
      <c r="R798" s="23"/>
      <c r="S798" s="95"/>
      <c r="T798" s="23"/>
      <c r="U798" s="95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ht="15.75" customHeight="1">
      <c r="A799" s="24"/>
      <c r="B799" s="34">
        <v>84.0</v>
      </c>
      <c r="C799" s="228">
        <v>46228.0</v>
      </c>
      <c r="D799" s="36">
        <v>3.0</v>
      </c>
      <c r="E799" s="36" t="s">
        <v>67</v>
      </c>
      <c r="F799" s="36">
        <v>96.0</v>
      </c>
      <c r="G799" s="36">
        <v>7.0834788E7</v>
      </c>
      <c r="H799" s="36" t="s">
        <v>1471</v>
      </c>
      <c r="I799" s="36" t="s">
        <v>1472</v>
      </c>
      <c r="J799" s="36" t="s">
        <v>1473</v>
      </c>
      <c r="K799" s="36" t="s">
        <v>960</v>
      </c>
      <c r="L799" s="56" t="s">
        <v>49</v>
      </c>
      <c r="M799" s="143"/>
      <c r="N799" s="143"/>
      <c r="O799" s="91">
        <v>97.0</v>
      </c>
      <c r="P799" s="40" t="s">
        <v>1159</v>
      </c>
      <c r="Q799" s="40" t="s">
        <v>253</v>
      </c>
      <c r="R799" s="23"/>
      <c r="S799" s="195">
        <v>97.0</v>
      </c>
      <c r="T799" s="23"/>
      <c r="U799" s="95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ht="15.75" customHeight="1">
      <c r="A800" s="24"/>
      <c r="B800" s="34">
        <v>85.0</v>
      </c>
      <c r="C800" s="283">
        <v>46230.0</v>
      </c>
      <c r="D800" s="143"/>
      <c r="E800" s="143"/>
      <c r="F800" s="143"/>
      <c r="G800" s="143"/>
      <c r="H800" s="36" t="s">
        <v>1474</v>
      </c>
      <c r="I800" s="36" t="s">
        <v>1475</v>
      </c>
      <c r="J800" s="36" t="s">
        <v>1476</v>
      </c>
      <c r="K800" s="36" t="s">
        <v>1477</v>
      </c>
      <c r="L800" s="56" t="s">
        <v>49</v>
      </c>
      <c r="M800" s="143"/>
      <c r="N800" s="143"/>
      <c r="O800" s="91">
        <v>30.0</v>
      </c>
      <c r="P800" s="40" t="s">
        <v>1159</v>
      </c>
      <c r="Q800" s="40" t="s">
        <v>631</v>
      </c>
      <c r="R800" s="23"/>
      <c r="S800" s="95"/>
      <c r="T800" s="23"/>
      <c r="U800" s="95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ht="15.75" customHeight="1">
      <c r="A801" s="24"/>
      <c r="B801" s="34">
        <v>86.0</v>
      </c>
      <c r="C801" s="283">
        <v>46230.0</v>
      </c>
      <c r="D801" s="143"/>
      <c r="E801" s="143"/>
      <c r="F801" s="143"/>
      <c r="G801" s="143"/>
      <c r="H801" s="36" t="s">
        <v>1478</v>
      </c>
      <c r="I801" s="36" t="s">
        <v>1479</v>
      </c>
      <c r="J801" s="36" t="s">
        <v>1480</v>
      </c>
      <c r="K801" s="36" t="s">
        <v>1481</v>
      </c>
      <c r="L801" s="56" t="s">
        <v>49</v>
      </c>
      <c r="M801" s="143"/>
      <c r="N801" s="143"/>
      <c r="O801" s="91">
        <v>30.0</v>
      </c>
      <c r="P801" s="40" t="s">
        <v>1159</v>
      </c>
      <c r="Q801" s="40" t="s">
        <v>631</v>
      </c>
      <c r="R801" s="23"/>
      <c r="S801" s="95"/>
      <c r="T801" s="23"/>
      <c r="U801" s="95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ht="15.75" customHeight="1">
      <c r="A802" s="24"/>
      <c r="B802" s="34">
        <v>87.0</v>
      </c>
      <c r="C802" s="311">
        <v>46233.0</v>
      </c>
      <c r="D802" s="143"/>
      <c r="E802" s="143"/>
      <c r="F802" s="143"/>
      <c r="G802" s="143"/>
      <c r="H802" s="36" t="s">
        <v>1482</v>
      </c>
      <c r="I802" s="36" t="s">
        <v>1483</v>
      </c>
      <c r="J802" s="36" t="s">
        <v>1199</v>
      </c>
      <c r="K802" s="36" t="s">
        <v>944</v>
      </c>
      <c r="L802" s="56" t="s">
        <v>49</v>
      </c>
      <c r="M802" s="143"/>
      <c r="N802" s="143"/>
      <c r="O802" s="91">
        <v>297.0</v>
      </c>
      <c r="P802" s="40" t="s">
        <v>1159</v>
      </c>
      <c r="Q802" s="40" t="s">
        <v>452</v>
      </c>
      <c r="R802" s="23"/>
      <c r="S802" s="95"/>
      <c r="T802" s="23"/>
      <c r="U802" s="95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ht="15.75" customHeight="1">
      <c r="A803" s="24"/>
      <c r="B803" s="34">
        <v>88.0</v>
      </c>
      <c r="C803" s="311">
        <v>46233.0</v>
      </c>
      <c r="D803" s="36">
        <v>3.0</v>
      </c>
      <c r="E803" s="36" t="s">
        <v>67</v>
      </c>
      <c r="F803" s="36">
        <v>97.0</v>
      </c>
      <c r="G803" s="36">
        <v>1.0131249E7</v>
      </c>
      <c r="H803" s="36" t="s">
        <v>1484</v>
      </c>
      <c r="I803" s="36" t="s">
        <v>1485</v>
      </c>
      <c r="J803" s="36" t="s">
        <v>1486</v>
      </c>
      <c r="K803" s="36" t="s">
        <v>1191</v>
      </c>
      <c r="L803" s="56" t="s">
        <v>49</v>
      </c>
      <c r="M803" s="143"/>
      <c r="N803" s="143"/>
      <c r="O803" s="91">
        <v>267.0</v>
      </c>
      <c r="P803" s="40" t="s">
        <v>1159</v>
      </c>
      <c r="Q803" s="40" t="s">
        <v>631</v>
      </c>
      <c r="R803" s="23"/>
      <c r="S803" s="195">
        <v>267.0</v>
      </c>
      <c r="T803" s="23"/>
      <c r="U803" s="95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ht="15.75" customHeight="1">
      <c r="A804" s="24"/>
      <c r="B804" s="34">
        <v>89.0</v>
      </c>
      <c r="C804" s="311">
        <v>46233.0</v>
      </c>
      <c r="D804" s="143"/>
      <c r="E804" s="143"/>
      <c r="F804" s="143"/>
      <c r="G804" s="143"/>
      <c r="H804" s="36" t="s">
        <v>1487</v>
      </c>
      <c r="I804" s="36" t="s">
        <v>1488</v>
      </c>
      <c r="J804" s="36" t="s">
        <v>1489</v>
      </c>
      <c r="K804" s="36" t="s">
        <v>1490</v>
      </c>
      <c r="L804" s="56" t="s">
        <v>49</v>
      </c>
      <c r="M804" s="143"/>
      <c r="N804" s="143"/>
      <c r="O804" s="91">
        <v>394.0</v>
      </c>
      <c r="P804" s="40" t="s">
        <v>1159</v>
      </c>
      <c r="Q804" s="40" t="s">
        <v>253</v>
      </c>
      <c r="R804" s="23"/>
      <c r="S804" s="95"/>
      <c r="T804" s="23"/>
      <c r="U804" s="95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ht="15.75" customHeight="1">
      <c r="A805" s="24"/>
      <c r="B805" s="34">
        <v>90.0</v>
      </c>
      <c r="C805" s="311">
        <v>46233.0</v>
      </c>
      <c r="D805" s="143"/>
      <c r="E805" s="143"/>
      <c r="F805" s="143"/>
      <c r="G805" s="143"/>
      <c r="H805" s="36" t="s">
        <v>1491</v>
      </c>
      <c r="I805" s="36" t="s">
        <v>1447</v>
      </c>
      <c r="J805" s="36" t="s">
        <v>1492</v>
      </c>
      <c r="K805" s="36" t="s">
        <v>944</v>
      </c>
      <c r="L805" s="56" t="s">
        <v>49</v>
      </c>
      <c r="M805" s="143"/>
      <c r="N805" s="143"/>
      <c r="O805" s="91">
        <v>67.0</v>
      </c>
      <c r="P805" s="40" t="s">
        <v>1159</v>
      </c>
      <c r="Q805" s="40" t="s">
        <v>452</v>
      </c>
      <c r="R805" s="23"/>
      <c r="S805" s="95"/>
      <c r="T805" s="23"/>
      <c r="U805" s="95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ht="15.75" customHeight="1">
      <c r="A806" s="24"/>
      <c r="B806" s="34">
        <v>91.0</v>
      </c>
      <c r="C806" s="311">
        <v>46233.0</v>
      </c>
      <c r="D806" s="143"/>
      <c r="E806" s="143"/>
      <c r="F806" s="143"/>
      <c r="G806" s="143"/>
      <c r="H806" s="36" t="s">
        <v>1311</v>
      </c>
      <c r="I806" s="36" t="s">
        <v>1312</v>
      </c>
      <c r="J806" s="36" t="s">
        <v>1493</v>
      </c>
      <c r="K806" s="36" t="s">
        <v>1494</v>
      </c>
      <c r="L806" s="56" t="s">
        <v>49</v>
      </c>
      <c r="M806" s="143"/>
      <c r="N806" s="143"/>
      <c r="O806" s="91">
        <v>50.0</v>
      </c>
      <c r="P806" s="40" t="s">
        <v>1159</v>
      </c>
      <c r="Q806" s="40" t="s">
        <v>631</v>
      </c>
      <c r="R806" s="23"/>
      <c r="S806" s="95"/>
      <c r="T806" s="23"/>
      <c r="U806" s="95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ht="15.75" customHeight="1">
      <c r="A807" s="24"/>
      <c r="B807" s="34">
        <v>92.0</v>
      </c>
      <c r="C807" s="311">
        <v>46233.0</v>
      </c>
      <c r="D807" s="143"/>
      <c r="E807" s="143"/>
      <c r="F807" s="143"/>
      <c r="G807" s="143"/>
      <c r="H807" s="36" t="s">
        <v>1495</v>
      </c>
      <c r="I807" s="36" t="s">
        <v>1286</v>
      </c>
      <c r="J807" s="36" t="s">
        <v>1199</v>
      </c>
      <c r="K807" s="36" t="s">
        <v>960</v>
      </c>
      <c r="L807" s="56" t="s">
        <v>49</v>
      </c>
      <c r="M807" s="143"/>
      <c r="N807" s="143"/>
      <c r="O807" s="91">
        <v>252.0</v>
      </c>
      <c r="P807" s="40" t="s">
        <v>1159</v>
      </c>
      <c r="Q807" s="40" t="s">
        <v>452</v>
      </c>
      <c r="R807" s="23"/>
      <c r="S807" s="95"/>
      <c r="T807" s="23"/>
      <c r="U807" s="95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ht="15.75" customHeight="1">
      <c r="A808" s="24"/>
      <c r="B808" s="34">
        <v>93.0</v>
      </c>
      <c r="C808" s="225">
        <v>46234.0</v>
      </c>
      <c r="D808" s="143"/>
      <c r="E808" s="143"/>
      <c r="F808" s="143"/>
      <c r="G808" s="143"/>
      <c r="H808" s="36" t="s">
        <v>1496</v>
      </c>
      <c r="I808" s="36" t="s">
        <v>1497</v>
      </c>
      <c r="J808" s="36" t="s">
        <v>1199</v>
      </c>
      <c r="K808" s="36" t="s">
        <v>1498</v>
      </c>
      <c r="L808" s="56" t="s">
        <v>49</v>
      </c>
      <c r="M808" s="143"/>
      <c r="N808" s="143"/>
      <c r="O808" s="91">
        <v>297.0</v>
      </c>
      <c r="P808" s="40" t="s">
        <v>1159</v>
      </c>
      <c r="Q808" s="40" t="s">
        <v>452</v>
      </c>
      <c r="R808" s="23"/>
      <c r="S808" s="95"/>
      <c r="T808" s="23"/>
      <c r="U808" s="95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ht="15.75" customHeight="1">
      <c r="A809" s="24"/>
      <c r="B809" s="34">
        <v>94.0</v>
      </c>
      <c r="C809" s="225">
        <v>46234.0</v>
      </c>
      <c r="D809" s="143"/>
      <c r="E809" s="143"/>
      <c r="F809" s="143"/>
      <c r="G809" s="36">
        <v>7.0834788E7</v>
      </c>
      <c r="H809" s="36" t="s">
        <v>1499</v>
      </c>
      <c r="I809" s="36" t="s">
        <v>1472</v>
      </c>
      <c r="J809" s="36" t="s">
        <v>1500</v>
      </c>
      <c r="K809" s="36" t="s">
        <v>960</v>
      </c>
      <c r="L809" s="56" t="s">
        <v>49</v>
      </c>
      <c r="M809" s="143"/>
      <c r="N809" s="143"/>
      <c r="O809" s="91">
        <v>297.0</v>
      </c>
      <c r="P809" s="40" t="s">
        <v>1159</v>
      </c>
      <c r="Q809" s="40" t="s">
        <v>452</v>
      </c>
      <c r="R809" s="23"/>
      <c r="S809" s="95"/>
      <c r="T809" s="23"/>
      <c r="U809" s="95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ht="15.75" customHeight="1">
      <c r="A810" s="24"/>
      <c r="B810" s="34">
        <v>95.0</v>
      </c>
      <c r="C810" s="225">
        <v>46234.0</v>
      </c>
      <c r="D810" s="143"/>
      <c r="E810" s="143"/>
      <c r="F810" s="143"/>
      <c r="G810" s="143"/>
      <c r="H810" s="36" t="s">
        <v>1229</v>
      </c>
      <c r="I810" s="36" t="s">
        <v>1293</v>
      </c>
      <c r="J810" s="36" t="s">
        <v>1501</v>
      </c>
      <c r="K810" s="36"/>
      <c r="L810" s="56" t="s">
        <v>84</v>
      </c>
      <c r="M810" s="143"/>
      <c r="N810" s="143"/>
      <c r="O810" s="91">
        <v>50.0</v>
      </c>
      <c r="P810" s="40" t="s">
        <v>462</v>
      </c>
      <c r="Q810" s="40" t="s">
        <v>452</v>
      </c>
      <c r="R810" s="23"/>
      <c r="S810" s="95"/>
      <c r="T810" s="23"/>
      <c r="U810" s="95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ht="15.75" customHeight="1">
      <c r="A811" s="24"/>
      <c r="B811" s="34">
        <v>96.0</v>
      </c>
      <c r="C811" s="225">
        <v>46234.0</v>
      </c>
      <c r="D811" s="143"/>
      <c r="E811" s="143"/>
      <c r="F811" s="143"/>
      <c r="G811" s="143"/>
      <c r="H811" s="36" t="s">
        <v>1502</v>
      </c>
      <c r="I811" s="36" t="s">
        <v>1293</v>
      </c>
      <c r="J811" s="36" t="s">
        <v>1503</v>
      </c>
      <c r="K811" s="36"/>
      <c r="L811" s="56" t="s">
        <v>84</v>
      </c>
      <c r="M811" s="143"/>
      <c r="N811" s="143"/>
      <c r="O811" s="91">
        <v>45.0</v>
      </c>
      <c r="P811" s="40" t="s">
        <v>462</v>
      </c>
      <c r="Q811" s="40" t="s">
        <v>452</v>
      </c>
      <c r="R811" s="23"/>
      <c r="S811" s="95"/>
      <c r="T811" s="23"/>
      <c r="U811" s="95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ht="15.75" customHeight="1">
      <c r="A812" s="24"/>
      <c r="B812" s="34">
        <v>97.0</v>
      </c>
      <c r="C812" s="225">
        <v>46234.0</v>
      </c>
      <c r="D812" s="143"/>
      <c r="E812" s="143"/>
      <c r="F812" s="143"/>
      <c r="G812" s="143"/>
      <c r="H812" s="36" t="s">
        <v>1504</v>
      </c>
      <c r="I812" s="36" t="s">
        <v>1505</v>
      </c>
      <c r="J812" s="36" t="s">
        <v>1199</v>
      </c>
      <c r="K812" s="36" t="s">
        <v>1506</v>
      </c>
      <c r="L812" s="56" t="s">
        <v>49</v>
      </c>
      <c r="M812" s="143"/>
      <c r="N812" s="143"/>
      <c r="O812" s="91">
        <v>522.0</v>
      </c>
      <c r="P812" s="40" t="s">
        <v>1159</v>
      </c>
      <c r="Q812" s="40" t="s">
        <v>573</v>
      </c>
      <c r="R812" s="23"/>
      <c r="S812" s="95"/>
      <c r="T812" s="23"/>
      <c r="U812" s="95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ht="15.75" customHeight="1">
      <c r="A813" s="24"/>
      <c r="B813" s="34"/>
      <c r="C813" s="184"/>
      <c r="D813" s="143"/>
      <c r="E813" s="143"/>
      <c r="F813" s="143"/>
      <c r="G813" s="143"/>
      <c r="H813" s="36"/>
      <c r="I813" s="36"/>
      <c r="J813" s="36"/>
      <c r="K813" s="36"/>
      <c r="L813" s="91"/>
      <c r="M813" s="143"/>
      <c r="N813" s="143"/>
      <c r="O813" s="91"/>
      <c r="P813" s="91"/>
      <c r="Q813" s="91"/>
      <c r="R813" s="23"/>
      <c r="S813" s="95"/>
      <c r="T813" s="23"/>
      <c r="U813" s="95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ht="15.75" customHeight="1">
      <c r="A814" s="24"/>
      <c r="B814" s="24"/>
      <c r="C814" s="312"/>
      <c r="D814" s="23"/>
      <c r="E814" s="23"/>
      <c r="F814" s="23"/>
      <c r="G814" s="23"/>
      <c r="H814" s="60"/>
      <c r="I814" s="60"/>
      <c r="J814" s="60"/>
      <c r="K814" s="60"/>
      <c r="L814" s="91"/>
      <c r="M814" s="23"/>
      <c r="N814" s="23"/>
      <c r="O814" s="195">
        <f>SUM(O715:O812)</f>
        <v>18910</v>
      </c>
      <c r="P814" s="91"/>
      <c r="Q814" s="91"/>
      <c r="R814" s="23"/>
      <c r="S814" s="95"/>
      <c r="T814" s="23"/>
      <c r="U814" s="95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ht="15.75" customHeight="1">
      <c r="A815" s="256"/>
      <c r="B815" s="313" t="s">
        <v>1507</v>
      </c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314"/>
      <c r="P815" s="5"/>
      <c r="Q815" s="5"/>
      <c r="R815" s="23"/>
      <c r="S815" s="95"/>
      <c r="T815" s="23"/>
      <c r="U815" s="95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ht="15.75" customHeight="1">
      <c r="A816" s="24"/>
      <c r="B816" s="24"/>
      <c r="C816" s="312"/>
      <c r="D816" s="23"/>
      <c r="E816" s="23"/>
      <c r="F816" s="23"/>
      <c r="G816" s="23"/>
      <c r="H816" s="60"/>
      <c r="I816" s="60"/>
      <c r="J816" s="60"/>
      <c r="K816" s="60"/>
      <c r="L816" s="195"/>
      <c r="M816" s="23"/>
      <c r="N816" s="23"/>
      <c r="O816" s="195"/>
      <c r="P816" s="195"/>
      <c r="Q816" s="195"/>
      <c r="R816" s="23"/>
      <c r="S816" s="95"/>
      <c r="T816" s="23"/>
      <c r="U816" s="95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ht="15.75" customHeight="1">
      <c r="A817" s="85"/>
      <c r="B817" s="315" t="s">
        <v>1</v>
      </c>
      <c r="C817" s="315" t="s">
        <v>3</v>
      </c>
      <c r="D817" s="316" t="s">
        <v>4</v>
      </c>
      <c r="E817" s="317"/>
      <c r="F817" s="318"/>
      <c r="G817" s="319" t="s">
        <v>28</v>
      </c>
      <c r="H817" s="319" t="s">
        <v>29</v>
      </c>
      <c r="I817" s="315" t="s">
        <v>30</v>
      </c>
      <c r="J817" s="315" t="s">
        <v>7</v>
      </c>
      <c r="K817" s="319" t="s">
        <v>33</v>
      </c>
      <c r="L817" s="320" t="s">
        <v>34</v>
      </c>
      <c r="M817" s="315" t="s">
        <v>37</v>
      </c>
      <c r="N817" s="315" t="s">
        <v>10</v>
      </c>
      <c r="O817" s="315" t="s">
        <v>38</v>
      </c>
      <c r="P817" s="321" t="s">
        <v>39</v>
      </c>
      <c r="Q817" s="321" t="s">
        <v>40</v>
      </c>
      <c r="R817" s="23"/>
      <c r="S817" s="95"/>
      <c r="T817" s="23"/>
      <c r="U817" s="95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ht="15.75" customHeight="1">
      <c r="A818" s="85"/>
      <c r="B818" s="11"/>
      <c r="C818" s="11"/>
      <c r="D818" s="48" t="s">
        <v>12</v>
      </c>
      <c r="E818" s="48" t="s">
        <v>13</v>
      </c>
      <c r="F818" s="48" t="s">
        <v>14</v>
      </c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23"/>
      <c r="S818" s="95"/>
      <c r="T818" s="23"/>
      <c r="U818" s="95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ht="15.75" customHeight="1">
      <c r="A819" s="24"/>
      <c r="B819" s="34">
        <v>1.0</v>
      </c>
      <c r="C819" s="322">
        <v>46235.0</v>
      </c>
      <c r="D819" s="143"/>
      <c r="E819" s="143"/>
      <c r="F819" s="143"/>
      <c r="G819" s="143"/>
      <c r="H819" s="36" t="s">
        <v>1321</v>
      </c>
      <c r="I819" s="36" t="s">
        <v>421</v>
      </c>
      <c r="J819" s="36" t="s">
        <v>1199</v>
      </c>
      <c r="K819" s="36" t="s">
        <v>960</v>
      </c>
      <c r="L819" s="56" t="s">
        <v>49</v>
      </c>
      <c r="M819" s="143"/>
      <c r="N819" s="143"/>
      <c r="O819" s="91">
        <v>297.0</v>
      </c>
      <c r="P819" s="40" t="s">
        <v>1159</v>
      </c>
      <c r="Q819" s="40" t="s">
        <v>452</v>
      </c>
      <c r="R819" s="23"/>
      <c r="S819" s="95"/>
      <c r="T819" s="23"/>
      <c r="U819" s="95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ht="15.75" customHeight="1">
      <c r="A820" s="24"/>
      <c r="B820" s="34">
        <v>2.0</v>
      </c>
      <c r="C820" s="322">
        <v>46235.0</v>
      </c>
      <c r="D820" s="143"/>
      <c r="E820" s="143"/>
      <c r="F820" s="143"/>
      <c r="G820" s="143"/>
      <c r="H820" s="36" t="s">
        <v>1508</v>
      </c>
      <c r="I820" s="36" t="s">
        <v>1509</v>
      </c>
      <c r="J820" s="36" t="s">
        <v>1510</v>
      </c>
      <c r="K820" s="36" t="s">
        <v>1015</v>
      </c>
      <c r="L820" s="56" t="s">
        <v>49</v>
      </c>
      <c r="M820" s="143"/>
      <c r="N820" s="143"/>
      <c r="O820" s="91">
        <v>297.0</v>
      </c>
      <c r="P820" s="40" t="s">
        <v>1159</v>
      </c>
      <c r="Q820" s="40" t="s">
        <v>452</v>
      </c>
      <c r="R820" s="23"/>
      <c r="S820" s="95"/>
      <c r="T820" s="23"/>
      <c r="U820" s="95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ht="15.75" customHeight="1">
      <c r="A821" s="24"/>
      <c r="B821" s="34">
        <v>3.0</v>
      </c>
      <c r="C821" s="322">
        <v>46235.0</v>
      </c>
      <c r="D821" s="143"/>
      <c r="E821" s="143"/>
      <c r="F821" s="143"/>
      <c r="G821" s="36">
        <v>9780781.0</v>
      </c>
      <c r="H821" s="36" t="s">
        <v>1511</v>
      </c>
      <c r="I821" s="36" t="s">
        <v>1512</v>
      </c>
      <c r="J821" s="36" t="s">
        <v>1513</v>
      </c>
      <c r="K821" s="36" t="s">
        <v>1027</v>
      </c>
      <c r="L821" s="56" t="s">
        <v>49</v>
      </c>
      <c r="M821" s="143"/>
      <c r="N821" s="143"/>
      <c r="O821" s="91">
        <v>357.0</v>
      </c>
      <c r="P821" s="40" t="s">
        <v>1159</v>
      </c>
      <c r="Q821" s="40" t="s">
        <v>452</v>
      </c>
      <c r="R821" s="23"/>
      <c r="S821" s="95"/>
      <c r="T821" s="23"/>
      <c r="U821" s="95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ht="15.75" customHeight="1">
      <c r="A822" s="24"/>
      <c r="B822" s="34">
        <v>4.0</v>
      </c>
      <c r="C822" s="322">
        <v>46235.0</v>
      </c>
      <c r="D822" s="143"/>
      <c r="E822" s="143"/>
      <c r="F822" s="143"/>
      <c r="G822" s="36">
        <v>9780782.0</v>
      </c>
      <c r="H822" s="36" t="s">
        <v>1511</v>
      </c>
      <c r="I822" s="36" t="s">
        <v>1514</v>
      </c>
      <c r="J822" s="36" t="s">
        <v>1515</v>
      </c>
      <c r="K822" s="36" t="s">
        <v>1516</v>
      </c>
      <c r="L822" s="56" t="s">
        <v>49</v>
      </c>
      <c r="M822" s="143"/>
      <c r="N822" s="143"/>
      <c r="O822" s="91">
        <v>399.0</v>
      </c>
      <c r="P822" s="40" t="s">
        <v>1159</v>
      </c>
      <c r="Q822" s="40" t="s">
        <v>452</v>
      </c>
      <c r="R822" s="23"/>
      <c r="S822" s="95"/>
      <c r="T822" s="23"/>
      <c r="U822" s="95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ht="15.75" customHeight="1">
      <c r="A823" s="24"/>
      <c r="B823" s="34">
        <v>5.0</v>
      </c>
      <c r="C823" s="322">
        <v>46235.0</v>
      </c>
      <c r="D823" s="143"/>
      <c r="E823" s="143"/>
      <c r="F823" s="143"/>
      <c r="G823" s="143"/>
      <c r="H823" s="36" t="s">
        <v>1517</v>
      </c>
      <c r="I823" s="36" t="s">
        <v>1518</v>
      </c>
      <c r="J823" s="36" t="s">
        <v>1519</v>
      </c>
      <c r="K823" s="36" t="s">
        <v>965</v>
      </c>
      <c r="L823" s="56" t="s">
        <v>49</v>
      </c>
      <c r="M823" s="143"/>
      <c r="N823" s="143"/>
      <c r="O823" s="91">
        <v>267.0</v>
      </c>
      <c r="P823" s="40" t="s">
        <v>1159</v>
      </c>
      <c r="Q823" s="40" t="s">
        <v>452</v>
      </c>
      <c r="R823" s="23"/>
      <c r="S823" s="95"/>
      <c r="T823" s="23"/>
      <c r="U823" s="95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ht="15.75" customHeight="1">
      <c r="A824" s="24"/>
      <c r="B824" s="34">
        <v>6.0</v>
      </c>
      <c r="C824" s="322">
        <v>46235.0</v>
      </c>
      <c r="D824" s="143"/>
      <c r="E824" s="143"/>
      <c r="F824" s="143"/>
      <c r="G824" s="143"/>
      <c r="H824" s="36" t="s">
        <v>1520</v>
      </c>
      <c r="I824" s="36" t="s">
        <v>1521</v>
      </c>
      <c r="J824" s="36" t="s">
        <v>1522</v>
      </c>
      <c r="K824" s="36" t="s">
        <v>944</v>
      </c>
      <c r="L824" s="56" t="s">
        <v>49</v>
      </c>
      <c r="M824" s="143"/>
      <c r="N824" s="143"/>
      <c r="O824" s="91">
        <v>97.0</v>
      </c>
      <c r="P824" s="40" t="s">
        <v>1159</v>
      </c>
      <c r="Q824" s="40" t="s">
        <v>452</v>
      </c>
      <c r="R824" s="23"/>
      <c r="S824" s="95"/>
      <c r="T824" s="23"/>
      <c r="U824" s="95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ht="15.75" customHeight="1">
      <c r="A825" s="24"/>
      <c r="B825" s="34">
        <v>7.0</v>
      </c>
      <c r="C825" s="323">
        <v>46237.0</v>
      </c>
      <c r="D825" s="143"/>
      <c r="E825" s="143"/>
      <c r="F825" s="143"/>
      <c r="G825" s="143"/>
      <c r="H825" s="36" t="s">
        <v>1457</v>
      </c>
      <c r="I825" s="36" t="s">
        <v>1458</v>
      </c>
      <c r="J825" s="36" t="s">
        <v>1523</v>
      </c>
      <c r="K825" s="36" t="s">
        <v>1524</v>
      </c>
      <c r="L825" s="56" t="s">
        <v>49</v>
      </c>
      <c r="M825" s="143"/>
      <c r="N825" s="143"/>
      <c r="O825" s="91">
        <v>215.0</v>
      </c>
      <c r="P825" s="40" t="s">
        <v>1159</v>
      </c>
      <c r="Q825" s="40" t="s">
        <v>452</v>
      </c>
      <c r="R825" s="23"/>
      <c r="S825" s="95"/>
      <c r="T825" s="23"/>
      <c r="U825" s="95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ht="15.75" customHeight="1">
      <c r="A826" s="24"/>
      <c r="B826" s="34">
        <v>8.0</v>
      </c>
      <c r="C826" s="323">
        <v>46237.0</v>
      </c>
      <c r="D826" s="143"/>
      <c r="E826" s="143"/>
      <c r="F826" s="143"/>
      <c r="G826" s="143"/>
      <c r="H826" s="36" t="s">
        <v>1525</v>
      </c>
      <c r="I826" s="36" t="s">
        <v>1526</v>
      </c>
      <c r="J826" s="36" t="s">
        <v>1527</v>
      </c>
      <c r="K826" s="36" t="s">
        <v>960</v>
      </c>
      <c r="L826" s="56" t="s">
        <v>49</v>
      </c>
      <c r="M826" s="143"/>
      <c r="N826" s="143"/>
      <c r="O826" s="91">
        <v>100.0</v>
      </c>
      <c r="P826" s="40" t="s">
        <v>1159</v>
      </c>
      <c r="Q826" s="40" t="s">
        <v>631</v>
      </c>
      <c r="R826" s="23"/>
      <c r="S826" s="95"/>
      <c r="T826" s="23"/>
      <c r="U826" s="95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ht="15.75" customHeight="1">
      <c r="A827" s="24"/>
      <c r="B827" s="34">
        <v>9.0</v>
      </c>
      <c r="C827" s="323">
        <v>46237.0</v>
      </c>
      <c r="D827" s="143"/>
      <c r="E827" s="143"/>
      <c r="F827" s="143"/>
      <c r="G827" s="143"/>
      <c r="H827" s="36" t="s">
        <v>1528</v>
      </c>
      <c r="I827" s="36" t="s">
        <v>1529</v>
      </c>
      <c r="J827" s="36" t="s">
        <v>1530</v>
      </c>
      <c r="K827" s="36" t="s">
        <v>965</v>
      </c>
      <c r="L827" s="56" t="s">
        <v>49</v>
      </c>
      <c r="M827" s="143"/>
      <c r="N827" s="143"/>
      <c r="O827" s="91">
        <v>30.0</v>
      </c>
      <c r="P827" s="40" t="s">
        <v>1159</v>
      </c>
      <c r="Q827" s="40" t="s">
        <v>452</v>
      </c>
      <c r="R827" s="23"/>
      <c r="S827" s="95"/>
      <c r="T827" s="23"/>
      <c r="U827" s="95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ht="15.75" customHeight="1">
      <c r="A828" s="24"/>
      <c r="B828" s="34">
        <v>10.0</v>
      </c>
      <c r="C828" s="323">
        <v>46237.0</v>
      </c>
      <c r="D828" s="143"/>
      <c r="E828" s="143"/>
      <c r="F828" s="143"/>
      <c r="G828" s="143"/>
      <c r="H828" s="36" t="s">
        <v>1531</v>
      </c>
      <c r="I828" s="36" t="s">
        <v>1532</v>
      </c>
      <c r="J828" s="36" t="s">
        <v>1533</v>
      </c>
      <c r="K828" s="36" t="s">
        <v>1463</v>
      </c>
      <c r="L828" s="56" t="s">
        <v>49</v>
      </c>
      <c r="M828" s="143"/>
      <c r="N828" s="143"/>
      <c r="O828" s="91">
        <v>297.0</v>
      </c>
      <c r="P828" s="40" t="s">
        <v>1159</v>
      </c>
      <c r="Q828" s="40" t="s">
        <v>452</v>
      </c>
      <c r="R828" s="23"/>
      <c r="S828" s="95"/>
      <c r="T828" s="23"/>
      <c r="U828" s="95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ht="15.75" customHeight="1">
      <c r="A829" s="24"/>
      <c r="B829" s="34">
        <v>11.0</v>
      </c>
      <c r="C829" s="323">
        <v>46237.0</v>
      </c>
      <c r="D829" s="143"/>
      <c r="E829" s="143"/>
      <c r="F829" s="143"/>
      <c r="G829" s="143"/>
      <c r="H829" s="36" t="s">
        <v>1534</v>
      </c>
      <c r="I829" s="36" t="s">
        <v>1535</v>
      </c>
      <c r="J829" s="36" t="s">
        <v>1199</v>
      </c>
      <c r="K829" s="36" t="s">
        <v>960</v>
      </c>
      <c r="L829" s="56" t="s">
        <v>49</v>
      </c>
      <c r="M829" s="143"/>
      <c r="N829" s="143"/>
      <c r="O829" s="91">
        <v>297.0</v>
      </c>
      <c r="P829" s="40" t="s">
        <v>1159</v>
      </c>
      <c r="Q829" s="40" t="s">
        <v>631</v>
      </c>
      <c r="R829" s="23"/>
      <c r="S829" s="95"/>
      <c r="T829" s="23"/>
      <c r="U829" s="95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ht="15.75" customHeight="1">
      <c r="A830" s="24"/>
      <c r="B830" s="34">
        <v>12.0</v>
      </c>
      <c r="C830" s="324">
        <v>46238.0</v>
      </c>
      <c r="D830" s="143"/>
      <c r="E830" s="143"/>
      <c r="F830" s="143"/>
      <c r="G830" s="143"/>
      <c r="H830" s="36" t="s">
        <v>1536</v>
      </c>
      <c r="I830" s="36" t="s">
        <v>1537</v>
      </c>
      <c r="J830" s="36" t="s">
        <v>1199</v>
      </c>
      <c r="K830" s="36" t="s">
        <v>1032</v>
      </c>
      <c r="L830" s="56" t="s">
        <v>49</v>
      </c>
      <c r="M830" s="143"/>
      <c r="N830" s="143"/>
      <c r="O830" s="91">
        <v>297.0</v>
      </c>
      <c r="P830" s="40" t="s">
        <v>1159</v>
      </c>
      <c r="Q830" s="325" t="s">
        <v>253</v>
      </c>
      <c r="R830" s="23"/>
      <c r="S830" s="95"/>
      <c r="T830" s="23"/>
      <c r="U830" s="95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ht="15.75" customHeight="1">
      <c r="A831" s="24"/>
      <c r="B831" s="34">
        <v>13.0</v>
      </c>
      <c r="C831" s="324">
        <v>46238.0</v>
      </c>
      <c r="D831" s="143"/>
      <c r="E831" s="143"/>
      <c r="F831" s="143"/>
      <c r="G831" s="143"/>
      <c r="H831" s="36" t="s">
        <v>1538</v>
      </c>
      <c r="I831" s="36" t="s">
        <v>1539</v>
      </c>
      <c r="J831" s="36" t="s">
        <v>1199</v>
      </c>
      <c r="K831" s="36" t="s">
        <v>1032</v>
      </c>
      <c r="L831" s="56" t="s">
        <v>49</v>
      </c>
      <c r="M831" s="143"/>
      <c r="N831" s="143"/>
      <c r="O831" s="91">
        <v>297.0</v>
      </c>
      <c r="P831" s="40" t="s">
        <v>1159</v>
      </c>
      <c r="Q831" s="40" t="s">
        <v>452</v>
      </c>
      <c r="R831" s="23"/>
      <c r="S831" s="95"/>
      <c r="T831" s="23"/>
      <c r="U831" s="95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ht="15.75" customHeight="1">
      <c r="A832" s="24"/>
      <c r="B832" s="34">
        <v>14.0</v>
      </c>
      <c r="C832" s="324">
        <v>46238.0</v>
      </c>
      <c r="D832" s="143"/>
      <c r="E832" s="143"/>
      <c r="F832" s="143"/>
      <c r="G832" s="143"/>
      <c r="H832" s="36" t="s">
        <v>1540</v>
      </c>
      <c r="I832" s="36" t="s">
        <v>1541</v>
      </c>
      <c r="J832" s="36" t="s">
        <v>1542</v>
      </c>
      <c r="K832" s="36" t="s">
        <v>1015</v>
      </c>
      <c r="L832" s="56" t="s">
        <v>49</v>
      </c>
      <c r="M832" s="143"/>
      <c r="N832" s="143"/>
      <c r="O832" s="91">
        <v>50.0</v>
      </c>
      <c r="P832" s="40" t="s">
        <v>1159</v>
      </c>
      <c r="Q832" s="40" t="s">
        <v>452</v>
      </c>
      <c r="R832" s="23"/>
      <c r="S832" s="95"/>
      <c r="T832" s="23"/>
      <c r="U832" s="95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ht="15.75" customHeight="1">
      <c r="A833" s="24"/>
      <c r="B833" s="34">
        <v>15.0</v>
      </c>
      <c r="C833" s="324">
        <v>46238.0</v>
      </c>
      <c r="D833" s="143"/>
      <c r="E833" s="143"/>
      <c r="F833" s="143"/>
      <c r="G833" s="36">
        <v>1.0668321E7</v>
      </c>
      <c r="H833" s="36" t="s">
        <v>1543</v>
      </c>
      <c r="I833" s="36" t="s">
        <v>1544</v>
      </c>
      <c r="J833" s="36" t="s">
        <v>1545</v>
      </c>
      <c r="K833" s="36" t="s">
        <v>1546</v>
      </c>
      <c r="L833" s="56" t="s">
        <v>49</v>
      </c>
      <c r="M833" s="143"/>
      <c r="N833" s="143"/>
      <c r="O833" s="91">
        <v>60.0</v>
      </c>
      <c r="P833" s="40" t="s">
        <v>1159</v>
      </c>
      <c r="Q833" s="40" t="s">
        <v>631</v>
      </c>
      <c r="R833" s="23"/>
      <c r="S833" s="95"/>
      <c r="T833" s="23"/>
      <c r="U833" s="95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ht="15.75" customHeight="1">
      <c r="A834" s="24"/>
      <c r="B834" s="34">
        <v>16.0</v>
      </c>
      <c r="C834" s="324">
        <v>46238.0</v>
      </c>
      <c r="D834" s="143"/>
      <c r="E834" s="143"/>
      <c r="F834" s="143"/>
      <c r="G834" s="143"/>
      <c r="H834" s="36" t="s">
        <v>1534</v>
      </c>
      <c r="I834" s="36" t="s">
        <v>1535</v>
      </c>
      <c r="J834" s="36" t="s">
        <v>1547</v>
      </c>
      <c r="K834" s="36" t="s">
        <v>1548</v>
      </c>
      <c r="L834" s="56" t="s">
        <v>84</v>
      </c>
      <c r="M834" s="143"/>
      <c r="N834" s="143"/>
      <c r="O834" s="91">
        <v>300.0</v>
      </c>
      <c r="P834" s="40" t="s">
        <v>1159</v>
      </c>
      <c r="Q834" s="40" t="s">
        <v>452</v>
      </c>
      <c r="R834" s="23"/>
      <c r="S834" s="95"/>
      <c r="T834" s="23"/>
      <c r="U834" s="95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ht="15.75" customHeight="1">
      <c r="A835" s="24"/>
      <c r="B835" s="34">
        <v>17.0</v>
      </c>
      <c r="C835" s="324">
        <v>46238.0</v>
      </c>
      <c r="D835" s="143"/>
      <c r="E835" s="143"/>
      <c r="F835" s="143"/>
      <c r="G835" s="143"/>
      <c r="H835" s="36" t="s">
        <v>1520</v>
      </c>
      <c r="I835" s="36" t="s">
        <v>1521</v>
      </c>
      <c r="J835" s="36" t="s">
        <v>1549</v>
      </c>
      <c r="K835" s="36" t="s">
        <v>1550</v>
      </c>
      <c r="L835" s="56" t="s">
        <v>49</v>
      </c>
      <c r="M835" s="143"/>
      <c r="N835" s="143"/>
      <c r="O835" s="91">
        <v>297.0</v>
      </c>
      <c r="P835" s="40" t="s">
        <v>1159</v>
      </c>
      <c r="Q835" s="40" t="s">
        <v>452</v>
      </c>
      <c r="R835" s="23"/>
      <c r="S835" s="95"/>
      <c r="T835" s="23"/>
      <c r="U835" s="95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ht="15.75" customHeight="1">
      <c r="A836" s="24"/>
      <c r="B836" s="34">
        <v>18.0</v>
      </c>
      <c r="C836" s="307">
        <v>46239.0</v>
      </c>
      <c r="D836" s="143"/>
      <c r="E836" s="143"/>
      <c r="F836" s="143"/>
      <c r="G836" s="143"/>
      <c r="H836" s="36" t="s">
        <v>1048</v>
      </c>
      <c r="I836" s="36" t="s">
        <v>1551</v>
      </c>
      <c r="J836" s="36" t="s">
        <v>1199</v>
      </c>
      <c r="K836" s="36" t="s">
        <v>944</v>
      </c>
      <c r="L836" s="56" t="s">
        <v>49</v>
      </c>
      <c r="M836" s="143"/>
      <c r="N836" s="143"/>
      <c r="O836" s="91">
        <v>297.0</v>
      </c>
      <c r="P836" s="40" t="s">
        <v>1159</v>
      </c>
      <c r="Q836" s="40" t="s">
        <v>452</v>
      </c>
      <c r="R836" s="23"/>
      <c r="S836" s="95"/>
      <c r="T836" s="23"/>
      <c r="U836" s="95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ht="15.75" customHeight="1">
      <c r="A837" s="24"/>
      <c r="B837" s="34">
        <v>19.0</v>
      </c>
      <c r="C837" s="307">
        <v>46239.0</v>
      </c>
      <c r="D837" s="143"/>
      <c r="E837" s="143"/>
      <c r="F837" s="143"/>
      <c r="G837" s="143"/>
      <c r="H837" s="36" t="s">
        <v>1552</v>
      </c>
      <c r="I837" s="36" t="s">
        <v>1553</v>
      </c>
      <c r="J837" s="36" t="s">
        <v>1554</v>
      </c>
      <c r="K837" s="36" t="s">
        <v>1027</v>
      </c>
      <c r="L837" s="56" t="s">
        <v>49</v>
      </c>
      <c r="M837" s="143"/>
      <c r="N837" s="143"/>
      <c r="O837" s="91">
        <v>30.0</v>
      </c>
      <c r="P837" s="40" t="s">
        <v>1159</v>
      </c>
      <c r="Q837" s="40" t="s">
        <v>452</v>
      </c>
      <c r="R837" s="23"/>
      <c r="S837" s="95"/>
      <c r="T837" s="23"/>
      <c r="U837" s="95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ht="15.75" customHeight="1">
      <c r="A838" s="24"/>
      <c r="B838" s="34">
        <v>20.0</v>
      </c>
      <c r="C838" s="326">
        <v>46241.0</v>
      </c>
      <c r="D838" s="143"/>
      <c r="E838" s="143"/>
      <c r="F838" s="143"/>
      <c r="G838" s="143"/>
      <c r="H838" s="36" t="s">
        <v>1275</v>
      </c>
      <c r="I838" s="36" t="s">
        <v>1307</v>
      </c>
      <c r="J838" s="36" t="s">
        <v>1199</v>
      </c>
      <c r="K838" s="36" t="s">
        <v>960</v>
      </c>
      <c r="L838" s="56" t="s">
        <v>49</v>
      </c>
      <c r="M838" s="143"/>
      <c r="N838" s="143"/>
      <c r="O838" s="91">
        <v>297.0</v>
      </c>
      <c r="P838" s="40" t="s">
        <v>1159</v>
      </c>
      <c r="Q838" s="40" t="s">
        <v>452</v>
      </c>
      <c r="R838" s="23"/>
      <c r="S838" s="95"/>
      <c r="T838" s="23"/>
      <c r="U838" s="95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ht="15.75" customHeight="1">
      <c r="A839" s="24"/>
      <c r="B839" s="34">
        <v>21.0</v>
      </c>
      <c r="C839" s="326">
        <v>46241.0</v>
      </c>
      <c r="D839" s="143"/>
      <c r="E839" s="143"/>
      <c r="F839" s="143"/>
      <c r="G839" s="143"/>
      <c r="H839" s="36" t="s">
        <v>1555</v>
      </c>
      <c r="I839" s="36" t="s">
        <v>1556</v>
      </c>
      <c r="J839" s="36" t="s">
        <v>1199</v>
      </c>
      <c r="K839" s="36" t="s">
        <v>929</v>
      </c>
      <c r="L839" s="56" t="s">
        <v>49</v>
      </c>
      <c r="M839" s="143"/>
      <c r="N839" s="143"/>
      <c r="O839" s="91">
        <v>290.0</v>
      </c>
      <c r="P839" s="40" t="s">
        <v>1159</v>
      </c>
      <c r="Q839" s="40" t="s">
        <v>452</v>
      </c>
      <c r="R839" s="23"/>
      <c r="S839" s="95"/>
      <c r="T839" s="23"/>
      <c r="U839" s="95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ht="15.75" customHeight="1">
      <c r="A840" s="24"/>
      <c r="B840" s="34">
        <v>22.0</v>
      </c>
      <c r="C840" s="326">
        <v>46241.0</v>
      </c>
      <c r="D840" s="143"/>
      <c r="E840" s="143"/>
      <c r="F840" s="143"/>
      <c r="G840" s="143"/>
      <c r="H840" s="36" t="s">
        <v>1557</v>
      </c>
      <c r="I840" s="36" t="s">
        <v>1558</v>
      </c>
      <c r="J840" s="36" t="s">
        <v>1402</v>
      </c>
      <c r="K840" s="36" t="s">
        <v>1161</v>
      </c>
      <c r="L840" s="56" t="s">
        <v>49</v>
      </c>
      <c r="M840" s="143"/>
      <c r="N840" s="143"/>
      <c r="O840" s="91">
        <v>394.0</v>
      </c>
      <c r="P840" s="40" t="s">
        <v>1159</v>
      </c>
      <c r="Q840" s="40" t="s">
        <v>452</v>
      </c>
      <c r="R840" s="23"/>
      <c r="S840" s="95"/>
      <c r="T840" s="23"/>
      <c r="U840" s="95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ht="15.75" customHeight="1">
      <c r="A841" s="24"/>
      <c r="B841" s="34">
        <v>23.0</v>
      </c>
      <c r="C841" s="326">
        <v>46241.0</v>
      </c>
      <c r="D841" s="143"/>
      <c r="E841" s="143"/>
      <c r="F841" s="143"/>
      <c r="G841" s="143"/>
      <c r="H841" s="36" t="s">
        <v>1559</v>
      </c>
      <c r="I841" s="36" t="s">
        <v>1559</v>
      </c>
      <c r="J841" s="36" t="s">
        <v>1199</v>
      </c>
      <c r="K841" s="36" t="s">
        <v>1251</v>
      </c>
      <c r="L841" s="56" t="s">
        <v>49</v>
      </c>
      <c r="M841" s="143"/>
      <c r="N841" s="143"/>
      <c r="O841" s="91">
        <v>297.0</v>
      </c>
      <c r="P841" s="40" t="s">
        <v>1159</v>
      </c>
      <c r="Q841" s="40" t="s">
        <v>452</v>
      </c>
      <c r="R841" s="23"/>
      <c r="S841" s="95"/>
      <c r="T841" s="23"/>
      <c r="U841" s="95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ht="15.75" customHeight="1">
      <c r="A842" s="24"/>
      <c r="B842" s="34">
        <v>24.0</v>
      </c>
      <c r="C842" s="273">
        <v>46242.0</v>
      </c>
      <c r="D842" s="143"/>
      <c r="E842" s="143"/>
      <c r="F842" s="143"/>
      <c r="G842" s="143"/>
      <c r="H842" s="36" t="s">
        <v>1560</v>
      </c>
      <c r="I842" s="36" t="s">
        <v>1561</v>
      </c>
      <c r="J842" s="36" t="s">
        <v>1199</v>
      </c>
      <c r="K842" s="36" t="s">
        <v>965</v>
      </c>
      <c r="L842" s="56" t="s">
        <v>49</v>
      </c>
      <c r="M842" s="143"/>
      <c r="N842" s="143"/>
      <c r="O842" s="91">
        <v>297.0</v>
      </c>
      <c r="P842" s="40" t="s">
        <v>1159</v>
      </c>
      <c r="Q842" s="40" t="s">
        <v>452</v>
      </c>
      <c r="R842" s="23"/>
      <c r="S842" s="95"/>
      <c r="T842" s="23"/>
      <c r="U842" s="95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ht="15.75" customHeight="1">
      <c r="A843" s="24"/>
      <c r="B843" s="34">
        <v>25.0</v>
      </c>
      <c r="C843" s="273">
        <v>46242.0</v>
      </c>
      <c r="D843" s="143"/>
      <c r="E843" s="143"/>
      <c r="F843" s="143"/>
      <c r="G843" s="143"/>
      <c r="H843" s="36" t="s">
        <v>1305</v>
      </c>
      <c r="I843" s="36" t="s">
        <v>1306</v>
      </c>
      <c r="J843" s="36" t="s">
        <v>1199</v>
      </c>
      <c r="K843" s="36" t="s">
        <v>1562</v>
      </c>
      <c r="L843" s="56" t="s">
        <v>49</v>
      </c>
      <c r="M843" s="143"/>
      <c r="N843" s="143"/>
      <c r="O843" s="91">
        <v>522.0</v>
      </c>
      <c r="P843" s="40" t="s">
        <v>1159</v>
      </c>
      <c r="Q843" s="40" t="s">
        <v>452</v>
      </c>
      <c r="R843" s="23"/>
      <c r="S843" s="95"/>
      <c r="T843" s="23"/>
      <c r="U843" s="95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ht="15.75" customHeight="1">
      <c r="A844" s="24"/>
      <c r="B844" s="34">
        <v>26.0</v>
      </c>
      <c r="C844" s="273">
        <v>46242.0</v>
      </c>
      <c r="D844" s="143"/>
      <c r="E844" s="143"/>
      <c r="F844" s="143"/>
      <c r="G844" s="143"/>
      <c r="H844" s="36"/>
      <c r="I844" s="36"/>
      <c r="J844" s="36"/>
      <c r="K844" s="36"/>
      <c r="L844" s="56"/>
      <c r="M844" s="143"/>
      <c r="N844" s="143"/>
      <c r="O844" s="91"/>
      <c r="P844" s="40"/>
      <c r="Q844" s="40"/>
      <c r="R844" s="23"/>
      <c r="S844" s="95"/>
      <c r="T844" s="23"/>
      <c r="U844" s="95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ht="15.75" customHeight="1">
      <c r="A845" s="24"/>
      <c r="B845" s="34">
        <v>27.0</v>
      </c>
      <c r="C845" s="273">
        <v>46242.0</v>
      </c>
      <c r="D845" s="143"/>
      <c r="E845" s="143"/>
      <c r="F845" s="143"/>
      <c r="G845" s="143"/>
      <c r="H845" s="36"/>
      <c r="I845" s="36"/>
      <c r="J845" s="36"/>
      <c r="K845" s="36"/>
      <c r="L845" s="56"/>
      <c r="M845" s="143"/>
      <c r="N845" s="143"/>
      <c r="O845" s="91"/>
      <c r="P845" s="40"/>
      <c r="Q845" s="40"/>
      <c r="R845" s="23"/>
      <c r="S845" s="95"/>
      <c r="T845" s="23"/>
      <c r="U845" s="95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ht="15.75" customHeight="1">
      <c r="A846" s="24"/>
      <c r="B846" s="34">
        <v>28.0</v>
      </c>
      <c r="C846" s="184"/>
      <c r="D846" s="143"/>
      <c r="E846" s="143"/>
      <c r="F846" s="143"/>
      <c r="G846" s="143"/>
      <c r="H846" s="36"/>
      <c r="I846" s="36"/>
      <c r="J846" s="36"/>
      <c r="K846" s="36"/>
      <c r="L846" s="56"/>
      <c r="M846" s="143"/>
      <c r="N846" s="143"/>
      <c r="O846" s="91"/>
      <c r="P846" s="40"/>
      <c r="Q846" s="40"/>
      <c r="R846" s="23"/>
      <c r="S846" s="95"/>
      <c r="T846" s="23"/>
      <c r="U846" s="95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ht="15.75" customHeight="1">
      <c r="A847" s="24"/>
      <c r="B847" s="34">
        <v>29.0</v>
      </c>
      <c r="C847" s="184"/>
      <c r="D847" s="143"/>
      <c r="E847" s="143"/>
      <c r="F847" s="143"/>
      <c r="G847" s="143"/>
      <c r="H847" s="36"/>
      <c r="I847" s="36"/>
      <c r="J847" s="36"/>
      <c r="K847" s="36"/>
      <c r="L847" s="56"/>
      <c r="M847" s="143"/>
      <c r="N847" s="143"/>
      <c r="O847" s="91"/>
      <c r="P847" s="40"/>
      <c r="Q847" s="40"/>
      <c r="R847" s="23"/>
      <c r="S847" s="95"/>
      <c r="T847" s="23"/>
      <c r="U847" s="95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ht="15.75" customHeight="1">
      <c r="A848" s="24"/>
      <c r="B848" s="34"/>
      <c r="C848" s="184"/>
      <c r="D848" s="143"/>
      <c r="E848" s="143"/>
      <c r="F848" s="143"/>
      <c r="G848" s="143"/>
      <c r="H848" s="36"/>
      <c r="I848" s="36"/>
      <c r="J848" s="36"/>
      <c r="K848" s="36"/>
      <c r="L848" s="56"/>
      <c r="M848" s="143"/>
      <c r="N848" s="143"/>
      <c r="O848" s="91"/>
      <c r="P848" s="40"/>
      <c r="Q848" s="40"/>
      <c r="R848" s="23"/>
      <c r="S848" s="95"/>
      <c r="T848" s="23"/>
      <c r="U848" s="95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ht="15.75" customHeight="1">
      <c r="A849" s="24"/>
      <c r="B849" s="34"/>
      <c r="C849" s="184"/>
      <c r="D849" s="143"/>
      <c r="E849" s="143"/>
      <c r="F849" s="143"/>
      <c r="G849" s="143"/>
      <c r="H849" s="36"/>
      <c r="I849" s="36"/>
      <c r="J849" s="36"/>
      <c r="K849" s="36"/>
      <c r="L849" s="56"/>
      <c r="M849" s="143"/>
      <c r="N849" s="143"/>
      <c r="O849" s="91"/>
      <c r="P849" s="40"/>
      <c r="Q849" s="40"/>
      <c r="R849" s="23"/>
      <c r="S849" s="95"/>
      <c r="T849" s="23"/>
      <c r="U849" s="95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ht="15.75" customHeight="1">
      <c r="A850" s="24"/>
      <c r="B850" s="34"/>
      <c r="C850" s="184"/>
      <c r="D850" s="143"/>
      <c r="E850" s="143"/>
      <c r="F850" s="143"/>
      <c r="G850" s="143"/>
      <c r="H850" s="36"/>
      <c r="I850" s="36"/>
      <c r="J850" s="36"/>
      <c r="K850" s="36"/>
      <c r="L850" s="56"/>
      <c r="M850" s="143"/>
      <c r="N850" s="143"/>
      <c r="O850" s="91"/>
      <c r="P850" s="40"/>
      <c r="Q850" s="40"/>
      <c r="R850" s="23"/>
      <c r="S850" s="95"/>
      <c r="T850" s="23"/>
      <c r="U850" s="95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ht="15.75" customHeight="1">
      <c r="A851" s="24"/>
      <c r="B851" s="34"/>
      <c r="C851" s="184"/>
      <c r="D851" s="143"/>
      <c r="E851" s="143"/>
      <c r="F851" s="143"/>
      <c r="G851" s="143"/>
      <c r="H851" s="36"/>
      <c r="I851" s="36"/>
      <c r="J851" s="36"/>
      <c r="K851" s="36"/>
      <c r="L851" s="56"/>
      <c r="M851" s="143"/>
      <c r="N851" s="143"/>
      <c r="O851" s="91"/>
      <c r="P851" s="40"/>
      <c r="Q851" s="40"/>
      <c r="R851" s="23"/>
      <c r="S851" s="95"/>
      <c r="T851" s="23"/>
      <c r="U851" s="95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ht="15.75" customHeight="1">
      <c r="A852" s="24"/>
      <c r="B852" s="34"/>
      <c r="C852" s="184"/>
      <c r="D852" s="143"/>
      <c r="E852" s="143"/>
      <c r="F852" s="143"/>
      <c r="G852" s="143"/>
      <c r="H852" s="36"/>
      <c r="I852" s="36"/>
      <c r="J852" s="36"/>
      <c r="K852" s="36"/>
      <c r="L852" s="56"/>
      <c r="M852" s="143"/>
      <c r="N852" s="143"/>
      <c r="O852" s="91"/>
      <c r="P852" s="40"/>
      <c r="Q852" s="40"/>
      <c r="R852" s="23"/>
      <c r="S852" s="95"/>
      <c r="T852" s="23"/>
      <c r="U852" s="95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ht="15.75" customHeight="1">
      <c r="A853" s="24"/>
      <c r="B853" s="34"/>
      <c r="C853" s="184"/>
      <c r="D853" s="143"/>
      <c r="E853" s="143"/>
      <c r="F853" s="143"/>
      <c r="G853" s="143"/>
      <c r="H853" s="36"/>
      <c r="I853" s="36"/>
      <c r="J853" s="36"/>
      <c r="K853" s="36"/>
      <c r="L853" s="56"/>
      <c r="M853" s="143"/>
      <c r="N853" s="143"/>
      <c r="O853" s="91"/>
      <c r="P853" s="40"/>
      <c r="Q853" s="40"/>
      <c r="R853" s="23"/>
      <c r="S853" s="95"/>
      <c r="T853" s="23"/>
      <c r="U853" s="95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ht="15.75" customHeight="1">
      <c r="A854" s="24"/>
      <c r="B854" s="34">
        <v>97.0</v>
      </c>
      <c r="C854" s="184"/>
      <c r="D854" s="143"/>
      <c r="E854" s="143"/>
      <c r="F854" s="143"/>
      <c r="G854" s="143"/>
      <c r="H854" s="36"/>
      <c r="I854" s="36"/>
      <c r="J854" s="36"/>
      <c r="K854" s="36"/>
      <c r="L854" s="56"/>
      <c r="M854" s="143"/>
      <c r="N854" s="143"/>
      <c r="O854" s="91"/>
      <c r="P854" s="40"/>
      <c r="Q854" s="40"/>
      <c r="R854" s="23"/>
      <c r="S854" s="95"/>
      <c r="T854" s="23"/>
      <c r="U854" s="95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ht="15.75" customHeight="1">
      <c r="A855" s="24"/>
      <c r="B855" s="34"/>
      <c r="C855" s="184"/>
      <c r="D855" s="143"/>
      <c r="E855" s="143"/>
      <c r="F855" s="143"/>
      <c r="G855" s="143"/>
      <c r="H855" s="36"/>
      <c r="I855" s="36"/>
      <c r="J855" s="36"/>
      <c r="K855" s="36"/>
      <c r="L855" s="56"/>
      <c r="M855" s="143"/>
      <c r="N855" s="143"/>
      <c r="O855" s="189">
        <f>SUM(O819:O854)</f>
        <v>6378</v>
      </c>
      <c r="P855" s="40"/>
      <c r="Q855" s="40"/>
      <c r="R855" s="23"/>
      <c r="S855" s="189">
        <f>SUM(S715:S854)</f>
        <v>4397</v>
      </c>
      <c r="T855" s="23"/>
      <c r="U855" s="189">
        <f>SUM(U715:U854)</f>
        <v>0</v>
      </c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ht="15.75" customHeight="1">
      <c r="A856" s="84"/>
      <c r="B856" s="84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ht="15.75" customHeight="1">
      <c r="A857" s="84"/>
      <c r="B857" s="84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ht="15.75" customHeight="1">
      <c r="A858" s="84"/>
      <c r="B858" s="84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ht="15.75" customHeight="1">
      <c r="A859" s="84"/>
      <c r="B859" s="84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ht="15.75" customHeight="1">
      <c r="A860" s="84"/>
      <c r="B860" s="84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ht="15.75" customHeight="1">
      <c r="A861" s="84"/>
      <c r="B861" s="84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ht="15.75" customHeight="1">
      <c r="A862" s="84"/>
      <c r="B862" s="84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ht="15.75" customHeight="1">
      <c r="A863" s="84"/>
      <c r="B863" s="84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ht="15.75" customHeight="1">
      <c r="A864" s="84"/>
      <c r="B864" s="84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ht="15.75" customHeight="1">
      <c r="A865" s="84"/>
      <c r="B865" s="84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ht="15.75" customHeight="1">
      <c r="A866" s="84"/>
      <c r="B866" s="84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ht="15.75" customHeight="1">
      <c r="A867" s="84"/>
      <c r="B867" s="84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ht="15.75" customHeight="1">
      <c r="A868" s="84"/>
      <c r="B868" s="84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ht="15.75" customHeight="1">
      <c r="A869" s="84"/>
      <c r="B869" s="84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ht="15.75" customHeight="1">
      <c r="A870" s="84"/>
      <c r="B870" s="84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ht="15.75" customHeight="1">
      <c r="A871" s="84"/>
      <c r="B871" s="84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ht="15.75" customHeight="1">
      <c r="A872" s="84"/>
      <c r="B872" s="84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ht="15.75" customHeight="1">
      <c r="A873" s="84"/>
      <c r="B873" s="84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ht="15.75" customHeight="1">
      <c r="A874" s="84"/>
      <c r="B874" s="84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ht="15.75" customHeight="1">
      <c r="A875" s="84"/>
      <c r="B875" s="84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ht="15.75" customHeight="1">
      <c r="A876" s="84"/>
      <c r="B876" s="84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ht="15.75" customHeight="1">
      <c r="A877" s="84"/>
      <c r="B877" s="84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ht="15.75" customHeight="1">
      <c r="A878" s="84"/>
      <c r="B878" s="84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ht="15.75" customHeight="1">
      <c r="A879" s="84"/>
      <c r="B879" s="84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ht="15.75" customHeight="1">
      <c r="A880" s="84"/>
      <c r="B880" s="84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ht="15.75" customHeight="1">
      <c r="A881" s="84"/>
      <c r="B881" s="84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ht="15.75" customHeight="1">
      <c r="A882" s="84"/>
      <c r="B882" s="84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ht="15.75" customHeight="1">
      <c r="A883" s="84"/>
      <c r="B883" s="84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ht="15.75" customHeight="1">
      <c r="A884" s="84"/>
      <c r="B884" s="84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ht="15.75" customHeight="1">
      <c r="A885" s="84"/>
      <c r="B885" s="84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ht="15.75" customHeight="1">
      <c r="A886" s="84"/>
      <c r="B886" s="84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ht="15.75" customHeight="1">
      <c r="A887" s="84"/>
      <c r="B887" s="84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ht="15.75" customHeight="1">
      <c r="A888" s="84"/>
      <c r="B888" s="84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ht="15.75" customHeight="1">
      <c r="A889" s="84"/>
      <c r="B889" s="84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ht="15.75" customHeight="1">
      <c r="A890" s="84"/>
      <c r="B890" s="84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ht="15.75" customHeight="1">
      <c r="A891" s="84"/>
      <c r="B891" s="84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ht="15.75" customHeight="1">
      <c r="A892" s="84"/>
      <c r="B892" s="84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ht="15.75" customHeight="1">
      <c r="A893" s="84"/>
      <c r="B893" s="84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ht="15.75" customHeight="1">
      <c r="A894" s="84"/>
      <c r="B894" s="84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ht="15.75" customHeight="1">
      <c r="A895" s="84"/>
      <c r="B895" s="84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ht="15.75" customHeight="1">
      <c r="A896" s="84"/>
      <c r="B896" s="84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ht="15.75" customHeight="1">
      <c r="A897" s="84"/>
      <c r="B897" s="84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ht="15.75" customHeight="1">
      <c r="A898" s="84"/>
      <c r="B898" s="84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ht="15.75" customHeight="1">
      <c r="A899" s="84"/>
      <c r="B899" s="84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ht="15.75" customHeight="1">
      <c r="A900" s="84"/>
      <c r="B900" s="84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ht="15.75" customHeight="1">
      <c r="A901" s="84"/>
      <c r="B901" s="84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ht="15.75" customHeight="1">
      <c r="A902" s="84"/>
      <c r="B902" s="84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ht="15.75" customHeight="1">
      <c r="A903" s="84"/>
      <c r="B903" s="84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ht="15.75" customHeight="1">
      <c r="A904" s="84"/>
      <c r="B904" s="84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ht="15.75" customHeight="1">
      <c r="A905" s="84"/>
      <c r="B905" s="84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ht="15.75" customHeight="1">
      <c r="A906" s="84"/>
      <c r="B906" s="84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ht="15.75" customHeight="1">
      <c r="A907" s="84"/>
      <c r="B907" s="84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ht="15.75" customHeight="1">
      <c r="A908" s="84"/>
      <c r="B908" s="84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ht="15.75" customHeight="1">
      <c r="A909" s="84"/>
      <c r="B909" s="84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ht="15.75" customHeight="1">
      <c r="A910" s="84"/>
      <c r="B910" s="84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ht="15.75" customHeight="1">
      <c r="A911" s="84"/>
      <c r="B911" s="84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ht="15.75" customHeight="1">
      <c r="A912" s="84"/>
      <c r="B912" s="84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ht="15.75" customHeight="1">
      <c r="A913" s="84"/>
      <c r="B913" s="84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ht="15.75" customHeight="1">
      <c r="A914" s="84"/>
      <c r="B914" s="84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ht="15.75" customHeight="1">
      <c r="A915" s="84"/>
      <c r="B915" s="84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ht="15.75" customHeight="1">
      <c r="A916" s="84"/>
      <c r="B916" s="84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ht="15.75" customHeight="1">
      <c r="A917" s="84"/>
      <c r="B917" s="84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ht="15.75" customHeight="1">
      <c r="A918" s="84"/>
      <c r="B918" s="84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ht="15.75" customHeight="1">
      <c r="A919" s="84"/>
      <c r="B919" s="84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ht="15.75" customHeight="1">
      <c r="A920" s="84"/>
      <c r="B920" s="84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ht="15.75" customHeight="1">
      <c r="A921" s="84"/>
      <c r="B921" s="84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ht="15.75" customHeight="1">
      <c r="A922" s="84"/>
      <c r="B922" s="84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ht="15.75" customHeight="1">
      <c r="A923" s="84"/>
      <c r="B923" s="84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ht="15.75" customHeight="1">
      <c r="A924" s="84"/>
      <c r="B924" s="84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ht="15.75" customHeight="1">
      <c r="A925" s="84"/>
      <c r="B925" s="84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ht="15.75" customHeight="1">
      <c r="A926" s="84"/>
      <c r="B926" s="84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ht="15.75" customHeight="1">
      <c r="A927" s="84"/>
      <c r="B927" s="84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ht="15.75" customHeight="1">
      <c r="A928" s="84"/>
      <c r="B928" s="84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ht="15.75" customHeight="1">
      <c r="A929" s="84"/>
      <c r="B929" s="84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ht="15.75" customHeight="1">
      <c r="A930" s="84"/>
      <c r="B930" s="84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ht="15.75" customHeight="1">
      <c r="A931" s="84"/>
      <c r="B931" s="84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ht="15.75" customHeight="1">
      <c r="A932" s="84"/>
      <c r="B932" s="84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ht="15.75" customHeight="1">
      <c r="A933" s="84"/>
      <c r="B933" s="84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ht="15.75" customHeight="1">
      <c r="A934" s="84"/>
      <c r="B934" s="84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ht="15.75" customHeight="1">
      <c r="A935" s="84"/>
      <c r="B935" s="84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ht="15.75" customHeight="1">
      <c r="A936" s="84"/>
      <c r="B936" s="84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ht="15.75" customHeight="1">
      <c r="A937" s="84"/>
      <c r="B937" s="84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ht="15.75" customHeight="1">
      <c r="A938" s="84"/>
      <c r="B938" s="84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ht="15.75" customHeight="1">
      <c r="A939" s="84"/>
      <c r="B939" s="84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ht="15.75" customHeight="1">
      <c r="A940" s="84"/>
      <c r="B940" s="84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ht="15.75" customHeight="1">
      <c r="A941" s="84"/>
      <c r="B941" s="84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ht="15.75" customHeight="1">
      <c r="A942" s="84"/>
      <c r="B942" s="84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ht="15.75" customHeight="1">
      <c r="A943" s="84"/>
      <c r="B943" s="84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ht="15.75" customHeight="1">
      <c r="A944" s="84"/>
      <c r="B944" s="84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ht="15.75" customHeight="1">
      <c r="A945" s="84"/>
      <c r="B945" s="84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ht="15.75" customHeight="1">
      <c r="A946" s="84"/>
      <c r="B946" s="84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ht="15.75" customHeight="1">
      <c r="A947" s="84"/>
      <c r="B947" s="84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ht="15.75" customHeight="1">
      <c r="A948" s="84"/>
      <c r="B948" s="84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ht="15.75" customHeight="1">
      <c r="A949" s="84"/>
      <c r="B949" s="84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ht="15.75" customHeight="1">
      <c r="A950" s="84"/>
      <c r="B950" s="84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ht="15.75" customHeight="1">
      <c r="A951" s="84"/>
      <c r="B951" s="84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ht="15.75" customHeight="1">
      <c r="A952" s="84"/>
      <c r="B952" s="84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ht="15.75" customHeight="1">
      <c r="A953" s="84"/>
      <c r="B953" s="84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ht="15.75" customHeight="1">
      <c r="A954" s="84"/>
      <c r="B954" s="84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ht="15.75" customHeight="1">
      <c r="A955" s="84"/>
      <c r="B955" s="84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ht="15.75" customHeight="1">
      <c r="A956" s="84"/>
      <c r="B956" s="84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ht="15.75" customHeight="1">
      <c r="A957" s="84"/>
      <c r="B957" s="84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ht="15.75" customHeight="1">
      <c r="A958" s="84"/>
      <c r="B958" s="84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ht="15.75" customHeight="1">
      <c r="A959" s="84"/>
      <c r="B959" s="84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ht="15.75" customHeight="1">
      <c r="A960" s="84"/>
      <c r="B960" s="84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ht="15.75" customHeight="1">
      <c r="A961" s="84"/>
      <c r="B961" s="84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ht="15.75" customHeight="1">
      <c r="A962" s="84"/>
      <c r="B962" s="84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ht="15.75" customHeight="1">
      <c r="A963" s="84"/>
      <c r="B963" s="84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ht="15.75" customHeight="1">
      <c r="A964" s="84"/>
      <c r="B964" s="84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ht="15.75" customHeight="1">
      <c r="A965" s="84"/>
      <c r="B965" s="84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ht="15.75" customHeight="1">
      <c r="A966" s="84"/>
      <c r="B966" s="84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ht="15.75" customHeight="1">
      <c r="A967" s="84"/>
      <c r="B967" s="84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ht="15.75" customHeight="1">
      <c r="A968" s="84"/>
      <c r="B968" s="84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ht="15.75" customHeight="1">
      <c r="A969" s="84"/>
      <c r="B969" s="84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ht="15.75" customHeight="1">
      <c r="A970" s="84"/>
      <c r="B970" s="84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ht="15.75" customHeight="1">
      <c r="A971" s="84"/>
      <c r="B971" s="84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ht="15.75" customHeight="1">
      <c r="A972" s="84"/>
      <c r="B972" s="84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ht="15.75" customHeight="1">
      <c r="A973" s="84"/>
      <c r="B973" s="84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ht="15.75" customHeight="1">
      <c r="A974" s="84"/>
      <c r="B974" s="84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ht="15.75" customHeight="1">
      <c r="A975" s="84"/>
      <c r="B975" s="84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ht="15.75" customHeight="1">
      <c r="A976" s="84"/>
      <c r="B976" s="84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ht="15.75" customHeight="1">
      <c r="A977" s="84"/>
      <c r="B977" s="84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ht="15.75" customHeight="1">
      <c r="A978" s="84"/>
      <c r="B978" s="84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ht="15.75" customHeight="1">
      <c r="A979" s="84"/>
      <c r="B979" s="84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ht="15.75" customHeight="1">
      <c r="A980" s="84"/>
      <c r="B980" s="84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ht="15.75" customHeight="1">
      <c r="A981" s="84"/>
      <c r="B981" s="84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ht="15.75" customHeight="1">
      <c r="A982" s="84"/>
      <c r="B982" s="84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ht="15.75" customHeight="1">
      <c r="A983" s="84"/>
      <c r="B983" s="84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ht="15.75" customHeight="1">
      <c r="A984" s="84"/>
      <c r="B984" s="84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ht="15.75" customHeight="1">
      <c r="A985" s="84"/>
      <c r="B985" s="84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ht="15.75" customHeight="1">
      <c r="A986" s="84"/>
      <c r="B986" s="84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ht="15.75" customHeight="1">
      <c r="A987" s="84"/>
      <c r="B987" s="84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ht="15.75" customHeight="1">
      <c r="A988" s="84"/>
      <c r="B988" s="84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ht="15.75" customHeight="1">
      <c r="A989" s="84"/>
      <c r="B989" s="84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ht="15.75" customHeight="1">
      <c r="A990" s="84"/>
      <c r="B990" s="84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ht="15.75" customHeight="1">
      <c r="A991" s="84"/>
      <c r="B991" s="84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ht="15.75" customHeight="1">
      <c r="A992" s="84"/>
      <c r="B992" s="84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ht="15.75" customHeight="1">
      <c r="A993" s="84"/>
      <c r="B993" s="84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ht="15.75" customHeight="1">
      <c r="A994" s="84"/>
      <c r="B994" s="84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ht="15.75" customHeight="1">
      <c r="A995" s="84"/>
      <c r="B995" s="84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ht="15.75" customHeight="1">
      <c r="A996" s="84"/>
      <c r="B996" s="84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ht="15.75" customHeight="1">
      <c r="A997" s="84"/>
      <c r="B997" s="84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ht="15.75" customHeight="1">
      <c r="A998" s="84"/>
      <c r="B998" s="84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ht="15.75" customHeight="1">
      <c r="A999" s="84"/>
      <c r="B999" s="84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ht="15.75" customHeight="1">
      <c r="A1000" s="84"/>
      <c r="B1000" s="84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  <row r="1001" ht="15.75" customHeight="1">
      <c r="A1001" s="84"/>
      <c r="B1001" s="84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</row>
    <row r="1002" ht="15.75" customHeight="1">
      <c r="A1002" s="84"/>
      <c r="B1002" s="84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</row>
    <row r="1003" ht="15.75" customHeight="1">
      <c r="A1003" s="84"/>
      <c r="B1003" s="84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</row>
    <row r="1004" ht="15.75" customHeight="1">
      <c r="A1004" s="84"/>
      <c r="B1004" s="84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</row>
    <row r="1005" ht="15.75" customHeight="1">
      <c r="A1005" s="84"/>
      <c r="B1005" s="84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</row>
    <row r="1006" ht="15.75" customHeight="1">
      <c r="A1006" s="84"/>
      <c r="B1006" s="84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</row>
    <row r="1007" ht="15.75" customHeight="1">
      <c r="A1007" s="84"/>
      <c r="B1007" s="84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</row>
    <row r="1008" ht="15.75" customHeight="1">
      <c r="A1008" s="84"/>
      <c r="B1008" s="84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</row>
    <row r="1009" ht="15.75" customHeight="1">
      <c r="A1009" s="84"/>
      <c r="B1009" s="84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</row>
    <row r="1010" ht="15.75" customHeight="1">
      <c r="A1010" s="84"/>
      <c r="B1010" s="84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</row>
    <row r="1011" ht="15.75" customHeight="1">
      <c r="A1011" s="84"/>
      <c r="B1011" s="84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</row>
    <row r="1012" ht="15.75" customHeight="1">
      <c r="A1012" s="84"/>
      <c r="B1012" s="84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</row>
    <row r="1013" ht="15.75" customHeight="1">
      <c r="A1013" s="84"/>
      <c r="B1013" s="84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</row>
    <row r="1014" ht="15.75" customHeight="1">
      <c r="A1014" s="84"/>
      <c r="B1014" s="84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</row>
    <row r="1015" ht="15.75" customHeight="1">
      <c r="A1015" s="84"/>
      <c r="B1015" s="84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</row>
    <row r="1016" ht="15.75" customHeight="1">
      <c r="A1016" s="84"/>
      <c r="B1016" s="84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</row>
    <row r="1017" ht="15.75" customHeight="1">
      <c r="A1017" s="84"/>
      <c r="B1017" s="84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</row>
    <row r="1018" ht="15.75" customHeight="1">
      <c r="A1018" s="84"/>
      <c r="B1018" s="84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</row>
    <row r="1019" ht="15.75" customHeight="1">
      <c r="A1019" s="84"/>
      <c r="B1019" s="84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</row>
    <row r="1020" ht="15.75" customHeight="1">
      <c r="A1020" s="84"/>
      <c r="B1020" s="84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</row>
    <row r="1021" ht="15.75" customHeight="1">
      <c r="A1021" s="84"/>
      <c r="B1021" s="84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</row>
    <row r="1022" ht="15.75" customHeight="1">
      <c r="A1022" s="84"/>
      <c r="B1022" s="84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</row>
    <row r="1023" ht="15.75" customHeight="1">
      <c r="A1023" s="84"/>
      <c r="B1023" s="84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</row>
    <row r="1024" ht="15.75" customHeight="1">
      <c r="A1024" s="84"/>
      <c r="B1024" s="84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</row>
    <row r="1025" ht="15.75" customHeight="1">
      <c r="A1025" s="84"/>
      <c r="B1025" s="84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</row>
    <row r="1026" ht="15.75" customHeight="1">
      <c r="A1026" s="84"/>
      <c r="B1026" s="84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</row>
    <row r="1027" ht="15.75" customHeight="1">
      <c r="A1027" s="84"/>
      <c r="B1027" s="84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</row>
    <row r="1028" ht="15.75" customHeight="1">
      <c r="A1028" s="84"/>
      <c r="B1028" s="84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</row>
    <row r="1029" ht="15.75" customHeight="1">
      <c r="A1029" s="84"/>
      <c r="B1029" s="84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</row>
    <row r="1030" ht="15.75" customHeight="1">
      <c r="A1030" s="84"/>
      <c r="B1030" s="84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</row>
    <row r="1031" ht="15.75" customHeight="1">
      <c r="A1031" s="84"/>
      <c r="B1031" s="84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</row>
    <row r="1032" ht="15.75" customHeight="1">
      <c r="A1032" s="84"/>
      <c r="B1032" s="84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</row>
    <row r="1033" ht="15.75" customHeight="1">
      <c r="A1033" s="84"/>
      <c r="B1033" s="84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</row>
    <row r="1034" ht="15.75" customHeight="1">
      <c r="A1034" s="84"/>
      <c r="B1034" s="84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</row>
    <row r="1035" ht="15.75" customHeight="1">
      <c r="A1035" s="84"/>
      <c r="B1035" s="84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</row>
    <row r="1036" ht="15.75" customHeight="1">
      <c r="A1036" s="84"/>
      <c r="B1036" s="84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</row>
    <row r="1037" ht="15.75" customHeight="1">
      <c r="A1037" s="84"/>
      <c r="B1037" s="84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</row>
    <row r="1038" ht="15.75" customHeight="1">
      <c r="A1038" s="84"/>
      <c r="B1038" s="84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</row>
    <row r="1039" ht="15.75" customHeight="1">
      <c r="A1039" s="84"/>
      <c r="B1039" s="84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</row>
    <row r="1040" ht="15.75" customHeight="1">
      <c r="A1040" s="84"/>
      <c r="B1040" s="84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</row>
    <row r="1041" ht="15.75" customHeight="1">
      <c r="A1041" s="84"/>
      <c r="B1041" s="84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</row>
    <row r="1042" ht="15.75" customHeight="1">
      <c r="A1042" s="84"/>
      <c r="B1042" s="84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</row>
    <row r="1043" ht="15.75" customHeight="1">
      <c r="A1043" s="84"/>
      <c r="B1043" s="84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</row>
    <row r="1044" ht="15.75" customHeight="1">
      <c r="A1044" s="84"/>
      <c r="B1044" s="84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</row>
    <row r="1045" ht="15.75" customHeight="1">
      <c r="A1045" s="84"/>
      <c r="B1045" s="84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</row>
    <row r="1046" ht="15.75" customHeight="1">
      <c r="A1046" s="84"/>
      <c r="B1046" s="84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</row>
    <row r="1047" ht="15.75" customHeight="1">
      <c r="A1047" s="84"/>
      <c r="B1047" s="84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</row>
    <row r="1048" ht="15.75" customHeight="1">
      <c r="A1048" s="84"/>
      <c r="B1048" s="84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</row>
    <row r="1049" ht="15.75" customHeight="1">
      <c r="A1049" s="84"/>
      <c r="B1049" s="84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</row>
    <row r="1050" ht="15.75" customHeight="1">
      <c r="A1050" s="84"/>
      <c r="B1050" s="84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</row>
    <row r="1051" ht="15.75" customHeight="1">
      <c r="A1051" s="84"/>
      <c r="B1051" s="84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</row>
    <row r="1052" ht="15.75" customHeight="1">
      <c r="A1052" s="84"/>
      <c r="B1052" s="84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</row>
    <row r="1053" ht="15.75" customHeight="1">
      <c r="A1053" s="84"/>
      <c r="B1053" s="84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</row>
    <row r="1054" ht="15.75" customHeight="1">
      <c r="A1054" s="84"/>
      <c r="B1054" s="84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</row>
    <row r="1055" ht="15.75" customHeight="1">
      <c r="A1055" s="84"/>
      <c r="B1055" s="84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</row>
    <row r="1056" ht="15.75" customHeight="1">
      <c r="A1056" s="84"/>
      <c r="B1056" s="84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</row>
    <row r="1057" ht="15.75" customHeight="1">
      <c r="A1057" s="84"/>
      <c r="B1057" s="84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</row>
    <row r="1058" ht="15.75" customHeight="1">
      <c r="A1058" s="84"/>
      <c r="B1058" s="84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</row>
    <row r="1059" ht="15.75" customHeight="1">
      <c r="A1059" s="84"/>
      <c r="B1059" s="84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</row>
    <row r="1060" ht="15.75" customHeight="1">
      <c r="A1060" s="84"/>
      <c r="B1060" s="84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</row>
    <row r="1061" ht="15.75" customHeight="1">
      <c r="A1061" s="84"/>
      <c r="B1061" s="84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</row>
    <row r="1062" ht="15.75" customHeight="1">
      <c r="A1062" s="84"/>
      <c r="B1062" s="84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</row>
    <row r="1063" ht="15.75" customHeight="1">
      <c r="A1063" s="84"/>
      <c r="B1063" s="84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</row>
    <row r="1064" ht="15.75" customHeight="1">
      <c r="A1064" s="84"/>
      <c r="B1064" s="84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</row>
    <row r="1065" ht="15.75" customHeight="1">
      <c r="A1065" s="84"/>
      <c r="B1065" s="84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</row>
    <row r="1066" ht="15.75" customHeight="1">
      <c r="A1066" s="84"/>
      <c r="B1066" s="84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</row>
    <row r="1067" ht="15.75" customHeight="1">
      <c r="A1067" s="84"/>
      <c r="B1067" s="84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</row>
    <row r="1068" ht="15.75" customHeight="1">
      <c r="A1068" s="84"/>
      <c r="B1068" s="84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</row>
    <row r="1069" ht="15.75" customHeight="1">
      <c r="A1069" s="84"/>
      <c r="B1069" s="84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</row>
    <row r="1070" ht="15.75" customHeight="1">
      <c r="A1070" s="84"/>
      <c r="B1070" s="84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</row>
    <row r="1071" ht="15.75" customHeight="1">
      <c r="A1071" s="84"/>
      <c r="B1071" s="84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</row>
    <row r="1072" ht="15.75" customHeight="1">
      <c r="A1072" s="84"/>
      <c r="B1072" s="84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</row>
    <row r="1073" ht="15.75" customHeight="1">
      <c r="A1073" s="84"/>
      <c r="B1073" s="84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</row>
    <row r="1074" ht="15.75" customHeight="1">
      <c r="A1074" s="84"/>
      <c r="B1074" s="84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</row>
    <row r="1075" ht="15.75" customHeight="1">
      <c r="A1075" s="84"/>
      <c r="B1075" s="84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</row>
    <row r="1076" ht="15.75" customHeight="1">
      <c r="A1076" s="84"/>
      <c r="B1076" s="84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</row>
    <row r="1077" ht="15.75" customHeight="1">
      <c r="A1077" s="84"/>
      <c r="B1077" s="84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</row>
    <row r="1078" ht="15.75" customHeight="1">
      <c r="A1078" s="84"/>
      <c r="B1078" s="84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</row>
    <row r="1079" ht="15.75" customHeight="1">
      <c r="A1079" s="84"/>
      <c r="B1079" s="84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</row>
    <row r="1080" ht="15.75" customHeight="1">
      <c r="A1080" s="84"/>
      <c r="B1080" s="84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</row>
    <row r="1081" ht="15.75" customHeight="1">
      <c r="A1081" s="84"/>
      <c r="B1081" s="84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</row>
    <row r="1082" ht="15.75" customHeight="1">
      <c r="A1082" s="84"/>
      <c r="B1082" s="84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</row>
    <row r="1083" ht="15.75" customHeight="1">
      <c r="A1083" s="84"/>
      <c r="B1083" s="84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</row>
    <row r="1084" ht="15.75" customHeight="1">
      <c r="A1084" s="84"/>
      <c r="B1084" s="84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</row>
    <row r="1085" ht="15.75" customHeight="1">
      <c r="A1085" s="84"/>
      <c r="B1085" s="84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</row>
    <row r="1086" ht="15.75" customHeight="1">
      <c r="A1086" s="84"/>
      <c r="B1086" s="84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</row>
    <row r="1087" ht="15.75" customHeight="1">
      <c r="A1087" s="84"/>
      <c r="B1087" s="84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</row>
    <row r="1088" ht="15.75" customHeight="1">
      <c r="A1088" s="84"/>
      <c r="B1088" s="84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</row>
    <row r="1089" ht="15.75" customHeight="1">
      <c r="A1089" s="84"/>
      <c r="B1089" s="84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</row>
    <row r="1090" ht="15.75" customHeight="1">
      <c r="A1090" s="84"/>
      <c r="B1090" s="84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</row>
    <row r="1091" ht="15.75" customHeight="1">
      <c r="A1091" s="84"/>
      <c r="B1091" s="84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</row>
    <row r="1092" ht="15.75" customHeight="1">
      <c r="A1092" s="84"/>
      <c r="B1092" s="84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</row>
    <row r="1093" ht="15.75" customHeight="1">
      <c r="A1093" s="84"/>
      <c r="B1093" s="84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</row>
    <row r="1094" ht="15.75" customHeight="1">
      <c r="A1094" s="84"/>
      <c r="B1094" s="84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</row>
    <row r="1095" ht="15.75" customHeight="1">
      <c r="A1095" s="84"/>
      <c r="B1095" s="84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</row>
    <row r="1096" ht="15.75" customHeight="1">
      <c r="A1096" s="84"/>
      <c r="B1096" s="84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</row>
    <row r="1097" ht="15.75" customHeight="1">
      <c r="A1097" s="84"/>
      <c r="B1097" s="84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</row>
    <row r="1098" ht="15.75" customHeight="1">
      <c r="A1098" s="84"/>
      <c r="B1098" s="84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3"/>
    </row>
    <row r="1099" ht="15.75" customHeight="1">
      <c r="A1099" s="84"/>
      <c r="B1099" s="84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3"/>
    </row>
    <row r="1100" ht="15.75" customHeight="1">
      <c r="A1100" s="84"/>
      <c r="B1100" s="84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3"/>
    </row>
    <row r="1101" ht="15.75" customHeight="1">
      <c r="A1101" s="84"/>
      <c r="B1101" s="84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3"/>
    </row>
    <row r="1102" ht="15.75" customHeight="1">
      <c r="A1102" s="84"/>
      <c r="B1102" s="84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</row>
    <row r="1103" ht="15.75" customHeight="1">
      <c r="A1103" s="84"/>
      <c r="B1103" s="84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3"/>
    </row>
    <row r="1104" ht="15.75" customHeight="1">
      <c r="A1104" s="84"/>
      <c r="B1104" s="84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3"/>
    </row>
    <row r="1105" ht="15.75" customHeight="1">
      <c r="A1105" s="84"/>
      <c r="B1105" s="84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3"/>
    </row>
    <row r="1106" ht="15.75" customHeight="1">
      <c r="A1106" s="84"/>
      <c r="B1106" s="84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3"/>
    </row>
    <row r="1107" ht="15.75" customHeight="1">
      <c r="A1107" s="84"/>
      <c r="B1107" s="84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3"/>
      <c r="AG1107" s="23"/>
    </row>
    <row r="1108" ht="15.75" customHeight="1">
      <c r="A1108" s="84"/>
      <c r="B1108" s="84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3"/>
    </row>
    <row r="1109" ht="15.75" customHeight="1">
      <c r="A1109" s="84"/>
      <c r="B1109" s="84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3"/>
    </row>
    <row r="1110" ht="15.75" customHeight="1">
      <c r="A1110" s="84"/>
      <c r="B1110" s="84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3"/>
    </row>
    <row r="1111" ht="15.75" customHeight="1">
      <c r="A1111" s="84"/>
      <c r="B1111" s="84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</row>
    <row r="1112" ht="15.75" customHeight="1">
      <c r="A1112" s="84"/>
      <c r="B1112" s="84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3"/>
    </row>
    <row r="1113" ht="15.75" customHeight="1">
      <c r="A1113" s="84"/>
      <c r="B1113" s="84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3"/>
    </row>
    <row r="1114" ht="15.75" customHeight="1">
      <c r="A1114" s="84"/>
      <c r="B1114" s="84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  <c r="AG1114" s="23"/>
    </row>
    <row r="1115" ht="15.75" customHeight="1">
      <c r="A1115" s="84"/>
      <c r="B1115" s="84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3"/>
    </row>
    <row r="1116" ht="15.75" customHeight="1">
      <c r="A1116" s="84"/>
      <c r="B1116" s="84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3"/>
    </row>
    <row r="1117" ht="15.75" customHeight="1">
      <c r="A1117" s="84"/>
      <c r="B1117" s="84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3"/>
    </row>
    <row r="1118" ht="15.75" customHeight="1">
      <c r="A1118" s="84"/>
      <c r="B1118" s="84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3"/>
      <c r="AG1118" s="23"/>
    </row>
    <row r="1119" ht="15.75" customHeight="1">
      <c r="A1119" s="84"/>
      <c r="B1119" s="84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</row>
    <row r="1120" ht="15.75" customHeight="1">
      <c r="A1120" s="84"/>
      <c r="B1120" s="84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3"/>
    </row>
    <row r="1121" ht="15.75" customHeight="1">
      <c r="A1121" s="84"/>
      <c r="B1121" s="84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3"/>
    </row>
    <row r="1122" ht="15.75" customHeight="1">
      <c r="A1122" s="84"/>
      <c r="B1122" s="84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3"/>
    </row>
    <row r="1123" ht="15.75" customHeight="1">
      <c r="A1123" s="84"/>
      <c r="B1123" s="84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3"/>
    </row>
    <row r="1124" ht="15.75" customHeight="1">
      <c r="A1124" s="84"/>
      <c r="B1124" s="84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3"/>
    </row>
    <row r="1125" ht="15.75" customHeight="1">
      <c r="A1125" s="84"/>
      <c r="B1125" s="84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  <c r="AE1125" s="23"/>
      <c r="AF1125" s="23"/>
      <c r="AG1125" s="23"/>
    </row>
    <row r="1126" ht="15.75" customHeight="1">
      <c r="A1126" s="84"/>
      <c r="B1126" s="84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</row>
    <row r="1127" ht="15.75" customHeight="1">
      <c r="A1127" s="84"/>
      <c r="B1127" s="84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3"/>
    </row>
    <row r="1128" ht="15.75" customHeight="1">
      <c r="A1128" s="84"/>
      <c r="B1128" s="84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3"/>
    </row>
    <row r="1129" ht="15.75" customHeight="1">
      <c r="A1129" s="84"/>
      <c r="B1129" s="84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3"/>
    </row>
    <row r="1130" ht="15.75" customHeight="1">
      <c r="A1130" s="84"/>
      <c r="B1130" s="84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3"/>
    </row>
    <row r="1131" ht="15.75" customHeight="1">
      <c r="A1131" s="84"/>
      <c r="B1131" s="84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3"/>
    </row>
    <row r="1132" ht="15.75" customHeight="1">
      <c r="A1132" s="84"/>
      <c r="B1132" s="84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</row>
    <row r="1133" ht="15.75" customHeight="1">
      <c r="A1133" s="84"/>
      <c r="B1133" s="84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  <c r="AE1133" s="23"/>
      <c r="AF1133" s="23"/>
      <c r="AG1133" s="23"/>
    </row>
    <row r="1134" ht="15.75" customHeight="1">
      <c r="A1134" s="84"/>
      <c r="B1134" s="84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3"/>
    </row>
    <row r="1135" ht="15.75" customHeight="1">
      <c r="A1135" s="84"/>
      <c r="B1135" s="84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  <c r="AE1135" s="23"/>
      <c r="AF1135" s="23"/>
      <c r="AG1135" s="23"/>
    </row>
    <row r="1136" ht="15.75" customHeight="1">
      <c r="A1136" s="84"/>
      <c r="B1136" s="84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  <c r="AE1136" s="23"/>
      <c r="AF1136" s="23"/>
      <c r="AG1136" s="23"/>
    </row>
    <row r="1137" ht="15.75" customHeight="1">
      <c r="A1137" s="84"/>
      <c r="B1137" s="84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3"/>
    </row>
    <row r="1138" ht="15.75" customHeight="1">
      <c r="A1138" s="84"/>
      <c r="B1138" s="84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/>
    </row>
    <row r="1139" ht="15.75" customHeight="1">
      <c r="A1139" s="84"/>
      <c r="B1139" s="84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3"/>
    </row>
    <row r="1140" ht="15.75" customHeight="1">
      <c r="A1140" s="84"/>
      <c r="B1140" s="84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/>
    </row>
    <row r="1141" ht="15.75" customHeight="1">
      <c r="A1141" s="84"/>
      <c r="B1141" s="84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3"/>
    </row>
    <row r="1142" ht="15.75" customHeight="1">
      <c r="A1142" s="84"/>
      <c r="B1142" s="84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</row>
    <row r="1143" ht="15.75" customHeight="1">
      <c r="A1143" s="84"/>
      <c r="B1143" s="84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  <c r="AE1143" s="23"/>
      <c r="AF1143" s="23"/>
      <c r="AG1143" s="23"/>
    </row>
    <row r="1144" ht="15.75" customHeight="1">
      <c r="A1144" s="84"/>
      <c r="B1144" s="84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3"/>
    </row>
    <row r="1145" ht="15.75" customHeight="1">
      <c r="A1145" s="84"/>
      <c r="B1145" s="84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  <c r="AE1145" s="23"/>
      <c r="AF1145" s="23"/>
      <c r="AG1145" s="23"/>
    </row>
    <row r="1146" ht="15.75" customHeight="1">
      <c r="A1146" s="84"/>
      <c r="B1146" s="84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3"/>
    </row>
    <row r="1147" ht="15.75" customHeight="1">
      <c r="A1147" s="84"/>
      <c r="B1147" s="84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3"/>
    </row>
    <row r="1148" ht="15.75" customHeight="1">
      <c r="A1148" s="84"/>
      <c r="B1148" s="84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3"/>
    </row>
    <row r="1149" ht="15.75" customHeight="1">
      <c r="A1149" s="84"/>
      <c r="B1149" s="84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</row>
    <row r="1150" ht="15.75" customHeight="1">
      <c r="A1150" s="84"/>
      <c r="B1150" s="84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3"/>
    </row>
    <row r="1151" ht="15.75" customHeight="1">
      <c r="A1151" s="84"/>
      <c r="B1151" s="84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</row>
    <row r="1152" ht="15.75" customHeight="1">
      <c r="A1152" s="84"/>
      <c r="B1152" s="84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3"/>
    </row>
    <row r="1153" ht="15.75" customHeight="1">
      <c r="A1153" s="84"/>
      <c r="B1153" s="84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3"/>
    </row>
    <row r="1154" ht="15.75" customHeight="1">
      <c r="A1154" s="84"/>
      <c r="B1154" s="84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3"/>
    </row>
    <row r="1155" ht="15.75" customHeight="1">
      <c r="A1155" s="84"/>
      <c r="B1155" s="84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  <c r="AE1155" s="23"/>
      <c r="AF1155" s="23"/>
      <c r="AG1155" s="23"/>
    </row>
    <row r="1156" ht="15.75" customHeight="1">
      <c r="A1156" s="84"/>
      <c r="B1156" s="84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</row>
    <row r="1157" ht="15.75" customHeight="1">
      <c r="A1157" s="84"/>
      <c r="B1157" s="84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3"/>
    </row>
    <row r="1158" ht="15.75" customHeight="1">
      <c r="A1158" s="84"/>
      <c r="B1158" s="84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  <c r="AE1158" s="23"/>
      <c r="AF1158" s="23"/>
      <c r="AG1158" s="23"/>
    </row>
    <row r="1159" ht="15.75" customHeight="1">
      <c r="A1159" s="84"/>
      <c r="B1159" s="84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3"/>
    </row>
    <row r="1160" ht="15.75" customHeight="1">
      <c r="A1160" s="84"/>
      <c r="B1160" s="84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3"/>
    </row>
    <row r="1161" ht="15.75" customHeight="1">
      <c r="A1161" s="84"/>
      <c r="B1161" s="84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</row>
    <row r="1162" ht="15.75" customHeight="1">
      <c r="A1162" s="84"/>
      <c r="B1162" s="84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</row>
    <row r="1163" ht="15.75" customHeight="1">
      <c r="A1163" s="84"/>
      <c r="B1163" s="84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</row>
    <row r="1164" ht="15.75" customHeight="1">
      <c r="A1164" s="84"/>
      <c r="B1164" s="84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  <c r="AE1164" s="23"/>
      <c r="AF1164" s="23"/>
      <c r="AG1164" s="23"/>
    </row>
    <row r="1165" ht="15.75" customHeight="1">
      <c r="A1165" s="84"/>
      <c r="B1165" s="84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</row>
    <row r="1166" ht="15.75" customHeight="1">
      <c r="A1166" s="84"/>
      <c r="B1166" s="84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3"/>
    </row>
    <row r="1167" ht="15.75" customHeight="1">
      <c r="A1167" s="84"/>
      <c r="B1167" s="84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</row>
    <row r="1168" ht="15.75" customHeight="1">
      <c r="A1168" s="84"/>
      <c r="B1168" s="84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3"/>
    </row>
    <row r="1169" ht="15.75" customHeight="1">
      <c r="A1169" s="84"/>
      <c r="B1169" s="84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</row>
    <row r="1170" ht="15.75" customHeight="1">
      <c r="A1170" s="84"/>
      <c r="B1170" s="84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3"/>
    </row>
    <row r="1171" ht="15.75" customHeight="1">
      <c r="A1171" s="84"/>
      <c r="B1171" s="84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3"/>
    </row>
    <row r="1172" ht="15.75" customHeight="1">
      <c r="A1172" s="84"/>
      <c r="B1172" s="84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23"/>
      <c r="AD1172" s="23"/>
      <c r="AE1172" s="23"/>
      <c r="AF1172" s="23"/>
      <c r="AG1172" s="23"/>
    </row>
    <row r="1173" ht="15.75" customHeight="1">
      <c r="A1173" s="84"/>
      <c r="B1173" s="84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  <c r="AE1173" s="23"/>
      <c r="AF1173" s="23"/>
      <c r="AG1173" s="23"/>
    </row>
    <row r="1174" ht="15.75" customHeight="1">
      <c r="A1174" s="84"/>
      <c r="B1174" s="84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  <c r="AE1174" s="23"/>
      <c r="AF1174" s="23"/>
      <c r="AG1174" s="23"/>
    </row>
    <row r="1175" ht="15.75" customHeight="1">
      <c r="A1175" s="84"/>
      <c r="B1175" s="84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  <c r="AE1175" s="23"/>
      <c r="AF1175" s="23"/>
      <c r="AG1175" s="23"/>
    </row>
    <row r="1176" ht="15.75" customHeight="1">
      <c r="A1176" s="84"/>
      <c r="B1176" s="84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3"/>
    </row>
    <row r="1177" ht="15.75" customHeight="1">
      <c r="A1177" s="84"/>
      <c r="B1177" s="84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  <c r="AE1177" s="23"/>
      <c r="AF1177" s="23"/>
      <c r="AG1177" s="23"/>
    </row>
    <row r="1178" ht="15.75" customHeight="1">
      <c r="A1178" s="84"/>
      <c r="B1178" s="84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</row>
    <row r="1179" ht="15.75" customHeight="1">
      <c r="A1179" s="84"/>
      <c r="B1179" s="84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  <c r="AE1179" s="23"/>
      <c r="AF1179" s="23"/>
      <c r="AG1179" s="23"/>
    </row>
    <row r="1180" ht="15.75" customHeight="1">
      <c r="A1180" s="84"/>
      <c r="B1180" s="84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  <c r="AE1180" s="23"/>
      <c r="AF1180" s="23"/>
      <c r="AG1180" s="23"/>
    </row>
    <row r="1181" ht="15.75" customHeight="1">
      <c r="A1181" s="84"/>
      <c r="B1181" s="84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  <c r="AE1181" s="23"/>
      <c r="AF1181" s="23"/>
      <c r="AG1181" s="23"/>
    </row>
    <row r="1182" ht="15.75" customHeight="1">
      <c r="A1182" s="84"/>
      <c r="B1182" s="84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  <c r="AE1182" s="23"/>
      <c r="AF1182" s="23"/>
      <c r="AG1182" s="23"/>
    </row>
    <row r="1183" ht="15.75" customHeight="1">
      <c r="A1183" s="84"/>
      <c r="B1183" s="84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  <c r="AE1183" s="23"/>
      <c r="AF1183" s="23"/>
      <c r="AG1183" s="23"/>
    </row>
    <row r="1184" ht="15.75" customHeight="1">
      <c r="A1184" s="84"/>
      <c r="B1184" s="84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  <c r="AE1184" s="23"/>
      <c r="AF1184" s="23"/>
      <c r="AG1184" s="23"/>
    </row>
    <row r="1185" ht="15.75" customHeight="1">
      <c r="A1185" s="84"/>
      <c r="B1185" s="84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  <c r="AE1185" s="23"/>
      <c r="AF1185" s="23"/>
      <c r="AG1185" s="23"/>
    </row>
    <row r="1186" ht="15.75" customHeight="1">
      <c r="A1186" s="84"/>
      <c r="B1186" s="84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  <c r="AD1186" s="23"/>
      <c r="AE1186" s="23"/>
      <c r="AF1186" s="23"/>
      <c r="AG1186" s="23"/>
    </row>
  </sheetData>
  <mergeCells count="132">
    <mergeCell ref="S3:S4"/>
    <mergeCell ref="U3:U4"/>
    <mergeCell ref="K3:K4"/>
    <mergeCell ref="L3:L4"/>
    <mergeCell ref="M3:M4"/>
    <mergeCell ref="N3:N4"/>
    <mergeCell ref="O3:O4"/>
    <mergeCell ref="P3:P4"/>
    <mergeCell ref="Q3:Q4"/>
    <mergeCell ref="B3:B4"/>
    <mergeCell ref="C3:C4"/>
    <mergeCell ref="D3:F3"/>
    <mergeCell ref="G3:G4"/>
    <mergeCell ref="H3:H4"/>
    <mergeCell ref="I3:I4"/>
    <mergeCell ref="J3:J4"/>
    <mergeCell ref="M43:M44"/>
    <mergeCell ref="N43:N44"/>
    <mergeCell ref="O43:O44"/>
    <mergeCell ref="P43:P44"/>
    <mergeCell ref="Q43:Q44"/>
    <mergeCell ref="B43:B44"/>
    <mergeCell ref="C43:C44"/>
    <mergeCell ref="D43:F43"/>
    <mergeCell ref="H43:H44"/>
    <mergeCell ref="I43:I44"/>
    <mergeCell ref="J43:J44"/>
    <mergeCell ref="L43:L44"/>
    <mergeCell ref="M134:M135"/>
    <mergeCell ref="N134:N135"/>
    <mergeCell ref="O134:O135"/>
    <mergeCell ref="P134:P135"/>
    <mergeCell ref="Q134:Q135"/>
    <mergeCell ref="B134:B135"/>
    <mergeCell ref="C134:C135"/>
    <mergeCell ref="D134:F134"/>
    <mergeCell ref="H134:H135"/>
    <mergeCell ref="I134:I135"/>
    <mergeCell ref="J134:J135"/>
    <mergeCell ref="L134:L135"/>
    <mergeCell ref="K515:K516"/>
    <mergeCell ref="L515:L516"/>
    <mergeCell ref="M515:M516"/>
    <mergeCell ref="N515:N516"/>
    <mergeCell ref="O515:O516"/>
    <mergeCell ref="P515:P516"/>
    <mergeCell ref="Q515:Q516"/>
    <mergeCell ref="B515:B516"/>
    <mergeCell ref="C515:C516"/>
    <mergeCell ref="D515:F515"/>
    <mergeCell ref="G515:G516"/>
    <mergeCell ref="H515:H516"/>
    <mergeCell ref="I515:I516"/>
    <mergeCell ref="J515:J516"/>
    <mergeCell ref="K606:K607"/>
    <mergeCell ref="L606:L607"/>
    <mergeCell ref="M606:M607"/>
    <mergeCell ref="N606:N607"/>
    <mergeCell ref="O606:O607"/>
    <mergeCell ref="P606:P607"/>
    <mergeCell ref="Q606:Q607"/>
    <mergeCell ref="B606:B607"/>
    <mergeCell ref="C606:C607"/>
    <mergeCell ref="D606:F606"/>
    <mergeCell ref="G606:G607"/>
    <mergeCell ref="H606:H607"/>
    <mergeCell ref="I606:I607"/>
    <mergeCell ref="J606:J607"/>
    <mergeCell ref="K713:K714"/>
    <mergeCell ref="L713:L714"/>
    <mergeCell ref="M713:M714"/>
    <mergeCell ref="N713:N714"/>
    <mergeCell ref="O713:O714"/>
    <mergeCell ref="P713:P714"/>
    <mergeCell ref="Q713:Q714"/>
    <mergeCell ref="B713:B714"/>
    <mergeCell ref="C713:C714"/>
    <mergeCell ref="D713:F713"/>
    <mergeCell ref="G713:G714"/>
    <mergeCell ref="H713:H714"/>
    <mergeCell ref="I713:I714"/>
    <mergeCell ref="J713:J714"/>
    <mergeCell ref="M261:M262"/>
    <mergeCell ref="N261:N262"/>
    <mergeCell ref="O261:O262"/>
    <mergeCell ref="P261:P262"/>
    <mergeCell ref="Q261:Q262"/>
    <mergeCell ref="B261:B262"/>
    <mergeCell ref="C261:C262"/>
    <mergeCell ref="D261:F261"/>
    <mergeCell ref="H261:H262"/>
    <mergeCell ref="I261:I262"/>
    <mergeCell ref="J261:J262"/>
    <mergeCell ref="L261:L262"/>
    <mergeCell ref="M335:M336"/>
    <mergeCell ref="N335:N336"/>
    <mergeCell ref="O335:O336"/>
    <mergeCell ref="P335:P336"/>
    <mergeCell ref="Q335:Q336"/>
    <mergeCell ref="B335:B336"/>
    <mergeCell ref="C335:C336"/>
    <mergeCell ref="D335:F335"/>
    <mergeCell ref="H335:H336"/>
    <mergeCell ref="I335:I336"/>
    <mergeCell ref="J335:J336"/>
    <mergeCell ref="L335:L336"/>
    <mergeCell ref="M423:M424"/>
    <mergeCell ref="N423:N424"/>
    <mergeCell ref="O423:O424"/>
    <mergeCell ref="P423:P424"/>
    <mergeCell ref="Q423:Q424"/>
    <mergeCell ref="B423:B424"/>
    <mergeCell ref="C423:C424"/>
    <mergeCell ref="D423:F423"/>
    <mergeCell ref="H423:H424"/>
    <mergeCell ref="I423:I424"/>
    <mergeCell ref="J423:J424"/>
    <mergeCell ref="L423:L424"/>
    <mergeCell ref="K817:K818"/>
    <mergeCell ref="L817:L818"/>
    <mergeCell ref="M817:M818"/>
    <mergeCell ref="N817:N818"/>
    <mergeCell ref="O817:O818"/>
    <mergeCell ref="P817:P818"/>
    <mergeCell ref="Q817:Q818"/>
    <mergeCell ref="B817:B818"/>
    <mergeCell ref="C817:C818"/>
    <mergeCell ref="D817:F817"/>
    <mergeCell ref="G817:G818"/>
    <mergeCell ref="H817:H818"/>
    <mergeCell ref="I817:I818"/>
    <mergeCell ref="J817:J818"/>
  </mergeCells>
  <dataValidations>
    <dataValidation type="list" allowBlank="1" showErrorMessage="1" sqref="Q646">
      <formula1>"Efectivo Alex,Yape Vms,Tarjeta,Transferencia,Efectivo Vms,Efectivo Claudia,Yape vms y efectivo"</formula1>
    </dataValidation>
    <dataValidation type="list" allowBlank="1" showInputMessage="1" showErrorMessage="1" prompt="Haz clic e introduce un valor de la lista de elementos" sqref="P263:P330 P337:P417 P425:P435 P437:P509 P517:P601 P608:P708 P715:P812 P819:P855">
      <formula1>"Nayely Santos,Claudia Villalobos,Alex Davalos"</formula1>
    </dataValidation>
    <dataValidation type="list" allowBlank="1" showErrorMessage="1" sqref="Q443 Q455:Q509 Q517:Q601 Q608:Q645 Q647:Q686 Q688:Q708 Q715:Q812 Q819:Q855">
      <formula1>"Efectivo Alex,Yape Vms,Tarjeta,Transferencia,Efectivo Vms,Efectivo Claudia"</formula1>
    </dataValidation>
    <dataValidation type="list" allowBlank="1" showErrorMessage="1" sqref="L5:L37 L45:L128 L136:L257 L263:L330 L337:L417 L425:L509 L517:L601 L608:L708 L715:L812 L819:L855">
      <formula1>"Escuela,Tienda"</formula1>
    </dataValidation>
    <dataValidation type="list" allowBlank="1" showErrorMessage="1" sqref="Q687">
      <formula1>"Efectivo Alex,Yape Vms,Tarjeta,Transferencia,Efectivo Vms,Efectivo Claudia,Depósito "</formula1>
    </dataValidation>
    <dataValidation type="list" allowBlank="1" showErrorMessage="1" sqref="Q263:Q330 Q337:Q417 Q425:Q442 Q444:Q454">
      <formula1>"Efectivo Alex,Yape Vms,Tarjeta,Transferencia,Efectivo Vms"</formula1>
    </dataValidation>
  </dataValidations>
  <hyperlinks>
    <hyperlink r:id="rId1" location="AdditionalDetails" ref="I484"/>
    <hyperlink r:id="rId2" location="AdditionalDetails" ref="I490"/>
    <hyperlink r:id="rId3" location="AdditionalDetails" ref="I491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1.75"/>
    <col customWidth="1" min="3" max="3" width="6.13"/>
    <col customWidth="1" min="4" max="4" width="6.63"/>
    <col customWidth="1" min="5" max="5" width="9.38"/>
    <col customWidth="1" min="6" max="6" width="28.38"/>
    <col customWidth="1" min="7" max="7" width="26.38"/>
    <col customWidth="1" min="8" max="8" width="12.38"/>
    <col customWidth="1" min="9" max="9" width="19.0"/>
    <col customWidth="1" min="10" max="12" width="14.25"/>
    <col customWidth="1" min="13" max="26" width="8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 ht="15.75" customHeight="1">
      <c r="A3" s="4" t="s">
        <v>1</v>
      </c>
      <c r="B3" s="4" t="s">
        <v>3</v>
      </c>
      <c r="C3" s="6" t="s">
        <v>4</v>
      </c>
      <c r="D3" s="7"/>
      <c r="E3" s="8"/>
      <c r="F3" s="4" t="s">
        <v>6</v>
      </c>
      <c r="G3" s="4" t="s">
        <v>7</v>
      </c>
      <c r="H3" s="6" t="s">
        <v>8</v>
      </c>
      <c r="I3" s="8"/>
      <c r="J3" s="4" t="s">
        <v>9</v>
      </c>
      <c r="K3" s="4" t="s">
        <v>10</v>
      </c>
      <c r="L3" s="4" t="s">
        <v>11</v>
      </c>
    </row>
    <row r="4">
      <c r="A4" s="11"/>
      <c r="B4" s="11"/>
      <c r="C4" s="12" t="s">
        <v>12</v>
      </c>
      <c r="D4" s="12" t="s">
        <v>13</v>
      </c>
      <c r="E4" s="12" t="s">
        <v>14</v>
      </c>
      <c r="F4" s="11"/>
      <c r="G4" s="11"/>
      <c r="H4" s="12" t="s">
        <v>3</v>
      </c>
      <c r="I4" s="12" t="s">
        <v>15</v>
      </c>
      <c r="J4" s="11"/>
      <c r="K4" s="11"/>
      <c r="L4" s="11"/>
    </row>
    <row r="5">
      <c r="A5" s="13">
        <v>1.0</v>
      </c>
      <c r="B5" s="14">
        <v>45981.0</v>
      </c>
      <c r="C5" s="15">
        <v>1.0</v>
      </c>
      <c r="D5" s="16" t="s">
        <v>16</v>
      </c>
      <c r="E5" s="18">
        <v>2.0</v>
      </c>
      <c r="F5" s="19" t="s">
        <v>17</v>
      </c>
      <c r="G5" s="19" t="s">
        <v>18</v>
      </c>
      <c r="H5" s="13"/>
      <c r="I5" s="21"/>
      <c r="J5" s="22"/>
      <c r="K5" s="22">
        <f t="shared" ref="K5:K11" si="1">+J5*18%</f>
        <v>0</v>
      </c>
      <c r="L5" s="25">
        <v>10.5</v>
      </c>
      <c r="M5" s="26" t="s">
        <v>19</v>
      </c>
    </row>
    <row r="6">
      <c r="A6" s="27">
        <v>2.0</v>
      </c>
      <c r="B6" s="14">
        <v>45981.0</v>
      </c>
      <c r="C6" s="28"/>
      <c r="D6" s="16" t="s">
        <v>20</v>
      </c>
      <c r="E6" s="18">
        <v>197832.0</v>
      </c>
      <c r="F6" s="19" t="s">
        <v>21</v>
      </c>
      <c r="G6" s="19" t="s">
        <v>22</v>
      </c>
      <c r="H6" s="21"/>
      <c r="I6" s="21"/>
      <c r="J6" s="22"/>
      <c r="K6" s="22">
        <f t="shared" si="1"/>
        <v>0</v>
      </c>
      <c r="L6" s="25">
        <v>24.84</v>
      </c>
    </row>
    <row r="7">
      <c r="A7" s="27">
        <v>3.0</v>
      </c>
      <c r="B7" s="14">
        <v>45981.0</v>
      </c>
      <c r="C7" s="28"/>
      <c r="D7" s="16" t="s">
        <v>23</v>
      </c>
      <c r="E7" s="18">
        <v>3333854.0</v>
      </c>
      <c r="F7" s="19" t="s">
        <v>24</v>
      </c>
      <c r="G7" s="19" t="s">
        <v>25</v>
      </c>
      <c r="H7" s="21"/>
      <c r="I7" s="21"/>
      <c r="J7" s="22"/>
      <c r="K7" s="22">
        <f t="shared" si="1"/>
        <v>0</v>
      </c>
      <c r="L7" s="25">
        <v>15.3</v>
      </c>
    </row>
    <row r="8">
      <c r="A8" s="27">
        <v>4.0</v>
      </c>
      <c r="B8" s="31">
        <v>45987.0</v>
      </c>
      <c r="C8" s="28"/>
      <c r="D8" s="33" t="s">
        <v>20</v>
      </c>
      <c r="E8" s="34">
        <v>272853.0</v>
      </c>
      <c r="F8" s="36" t="s">
        <v>26</v>
      </c>
      <c r="G8" s="36" t="s">
        <v>27</v>
      </c>
      <c r="H8" s="37"/>
      <c r="I8" s="37"/>
      <c r="J8" s="38"/>
      <c r="K8" s="38">
        <f t="shared" si="1"/>
        <v>0</v>
      </c>
      <c r="L8" s="40">
        <v>34.3</v>
      </c>
    </row>
    <row r="9">
      <c r="A9" s="27">
        <v>5.0</v>
      </c>
      <c r="B9" s="31">
        <v>45994.0</v>
      </c>
      <c r="C9" s="41">
        <v>3.0</v>
      </c>
      <c r="D9" s="33">
        <v>1.0</v>
      </c>
      <c r="E9" s="34">
        <v>50.0</v>
      </c>
      <c r="F9" s="36" t="s">
        <v>31</v>
      </c>
      <c r="G9" s="36" t="s">
        <v>32</v>
      </c>
      <c r="H9" s="37"/>
      <c r="I9" s="37"/>
      <c r="J9" s="38"/>
      <c r="K9" s="38">
        <f t="shared" si="1"/>
        <v>0</v>
      </c>
      <c r="L9" s="40">
        <v>9.0</v>
      </c>
    </row>
    <row r="10">
      <c r="A10" s="27">
        <v>6.0</v>
      </c>
      <c r="B10" s="27"/>
      <c r="C10" s="28"/>
      <c r="D10" s="42"/>
      <c r="E10" s="27"/>
      <c r="F10" s="19" t="s">
        <v>35</v>
      </c>
      <c r="G10" s="36" t="s">
        <v>36</v>
      </c>
      <c r="H10" s="37"/>
      <c r="I10" s="37"/>
      <c r="J10" s="38"/>
      <c r="K10" s="38">
        <f t="shared" si="1"/>
        <v>0</v>
      </c>
      <c r="L10" s="40">
        <v>10.0</v>
      </c>
    </row>
    <row r="11">
      <c r="A11" s="27">
        <v>7.0</v>
      </c>
      <c r="B11" s="27"/>
      <c r="C11" s="28"/>
      <c r="D11" s="42"/>
      <c r="E11" s="27"/>
      <c r="F11" s="37"/>
      <c r="G11" s="37"/>
      <c r="H11" s="37"/>
      <c r="I11" s="37"/>
      <c r="J11" s="38"/>
      <c r="K11" s="38">
        <f t="shared" si="1"/>
        <v>0</v>
      </c>
      <c r="L11" s="38">
        <f>+J11*K11</f>
        <v>0</v>
      </c>
    </row>
    <row r="12">
      <c r="A12" s="27"/>
      <c r="B12" s="44"/>
      <c r="C12" s="44"/>
      <c r="D12" s="44"/>
      <c r="E12" s="44"/>
      <c r="F12" s="45"/>
      <c r="G12" s="45"/>
      <c r="H12" s="45"/>
      <c r="I12" s="45"/>
      <c r="J12" s="46"/>
      <c r="K12" s="46"/>
      <c r="L12" s="46"/>
    </row>
    <row r="13">
      <c r="A13" s="47"/>
      <c r="B13" s="49"/>
      <c r="C13" s="49"/>
      <c r="D13" s="49"/>
      <c r="E13" s="49"/>
      <c r="F13" s="50"/>
      <c r="G13" s="50"/>
      <c r="H13" s="50"/>
      <c r="I13" s="50"/>
      <c r="J13" s="51">
        <f t="shared" ref="J13:L13" si="2">SUM(J5:J12)</f>
        <v>0</v>
      </c>
      <c r="K13" s="51">
        <f t="shared" si="2"/>
        <v>0</v>
      </c>
      <c r="L13" s="51">
        <f t="shared" si="2"/>
        <v>103.94</v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27"/>
      <c r="B14" s="27"/>
      <c r="C14" s="27"/>
      <c r="D14" s="27"/>
      <c r="E14" s="27"/>
      <c r="F14" s="37"/>
      <c r="G14" s="37"/>
      <c r="H14" s="37"/>
      <c r="I14" s="37"/>
      <c r="J14" s="37"/>
      <c r="K14" s="37"/>
      <c r="L14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3:J4"/>
    <mergeCell ref="K3:K4"/>
    <mergeCell ref="A1:L1"/>
    <mergeCell ref="A3:A4"/>
    <mergeCell ref="B3:B4"/>
    <mergeCell ref="C3:E3"/>
    <mergeCell ref="F3:F4"/>
    <mergeCell ref="G3:G4"/>
    <mergeCell ref="H3:I3"/>
    <mergeCell ref="L3:L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2025-11-18T21:00:14Z</dcterms:created>
  <dc:creator>WINDFIELD DAISY LADY BERROCAL RIVAS</dc:creator>
</cp:coreProperties>
</file>